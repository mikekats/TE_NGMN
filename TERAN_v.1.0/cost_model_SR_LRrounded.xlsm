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0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kekats\Documents\MATLAB\TERAN_v.1.0\"/>
    </mc:Choice>
  </mc:AlternateContent>
  <bookViews>
    <workbookView xWindow="240" yWindow="165" windowWidth="24240" windowHeight="6420" activeTab="2"/>
  </bookViews>
  <sheets>
    <sheet name="Dashboard" sheetId="1" r:id="rId1"/>
    <sheet name="inputs" sheetId="4" r:id="rId2"/>
    <sheet name="Core Urban" sheetId="7" r:id="rId3"/>
  </sheets>
  <externalReferences>
    <externalReference r:id="rId4"/>
    <externalReference r:id="rId5"/>
  </externalReferences>
  <definedNames>
    <definedName name="CAPEX">[1]CAPEX!$E$94:$Z$94</definedName>
    <definedName name="CAPEX_core">[1]CAPEX!$E$99:$Z$99</definedName>
    <definedName name="CAPEX_RAN">[1]CAPEX!$E$98:$Z$98</definedName>
    <definedName name="CAPEX_trans">[1]CAPEX!$E$100:$Z$100</definedName>
    <definedName name="CB_5b6ac54d81534087bf8dd0812789f635" localSheetId="1" hidden="1">inputs!$S$57</definedName>
    <definedName name="CB_Block_00000000000000000000000000000000" localSheetId="1" hidden="1">"'7.0.0.0"</definedName>
    <definedName name="CB_Block_00000000000000000000000000000001" localSheetId="1" hidden="1">"'634939558251976247"</definedName>
    <definedName name="CB_Block_00000000000000000000000000000003" localSheetId="1" hidden="1">"'11.1.1448.0"</definedName>
    <definedName name="CB_BlockExt_00000000000000000000000000000003" localSheetId="1" hidden="1">"'11.1.2.0.00"</definedName>
    <definedName name="CBx_Sheet_Guid" localSheetId="1" hidden="1">"'76495b30-ad59-4755-b3d0-9eec196156c9"</definedName>
    <definedName name="CBx_SheetRef" localSheetId="1" hidden="1">[2]CB_DATA_!$B$14</definedName>
    <definedName name="CBx_StorageType" localSheetId="1" hidden="1">2</definedName>
    <definedName name="Dach_Future_Volume">Dashboard!$E$5</definedName>
    <definedName name="Dash_Current_Volume">Dashboard!$D$5</definedName>
    <definedName name="Dash_data_growth">[2]Dashboard!$E$8</definedName>
    <definedName name="Dash_Future_data_growth">[2]Dashboard!$E$60</definedName>
    <definedName name="electricity_costs">[1]OPEX!$E$30:$Z$30</definedName>
    <definedName name="EnergyCostUSc1">Dashboard!#REF!</definedName>
    <definedName name="EnergyCostUSc1off">Dashboard!#REF!</definedName>
    <definedName name="EnergyCostUSc2" localSheetId="2">Dashboard!#REF!</definedName>
    <definedName name="EnergyCostUSc2">Dashboard!#REF!</definedName>
    <definedName name="EnergyCostUSc3">Dashboard!#REF!</definedName>
    <definedName name="EnergyCostUSc4">Dashboard!#REF!</definedName>
    <definedName name="ErlangB_table">[2]ErlangB!$B$10:$R$185</definedName>
    <definedName name="erlangB_table_block">[2]ErlangB!$B$8:$R$8</definedName>
    <definedName name="ErlangB_table_channels">[2]ErlangB!$A$10:$A$185</definedName>
    <definedName name="FutureDataTrafficRangeUSc1">Dashboard!#REF!</definedName>
    <definedName name="FutureDataTrafficRangeUSc1off">Dashboard!#REF!</definedName>
    <definedName name="FutureDataTrafficRangeUSc2" localSheetId="2">Dashboard!#REF!</definedName>
    <definedName name="FutureDataTrafficRangeUSc2">Dashboard!#REF!</definedName>
    <definedName name="FutureDataTrafficRangeUSc3">Dashboard!#REF!</definedName>
    <definedName name="FutureDataTrafficRangeUSc4">Dashboard!#REF!</definedName>
    <definedName name="Growth_rate_dash">Dashboard!$F$5</definedName>
    <definedName name="GSMfrequency">[1]lists_tables!$J$3:$J$5</definedName>
    <definedName name="HMA_rural_area_land">'[1]Municipalities &amp; Areas'!$N$8</definedName>
    <definedName name="HMA_rural_area_pop_density">'[1]Municipalities &amp; Areas'!$O$8</definedName>
    <definedName name="HMA_rural_area_population">'[1]Municipalities &amp; Areas'!$M$8</definedName>
    <definedName name="HMA_rural_pop_weight_factor">'[1]Municipalities &amp; Areas'!$P$8</definedName>
    <definedName name="HMA_suburban_area_land">'[1]Municipalities &amp; Areas'!$N$7</definedName>
    <definedName name="HMA_suburban_area_pop_density">'[1]Municipalities &amp; Areas'!$O$7</definedName>
    <definedName name="HMA_suburban_area_population">'[1]Municipalities &amp; Areas'!$M$7</definedName>
    <definedName name="HMA_suburban_pop_weight_factor">'[1]Municipalities &amp; Areas'!$P$7</definedName>
    <definedName name="HMA_urban_area_land">'[1]Municipalities &amp; Areas'!$N$6</definedName>
    <definedName name="HMA_urban_area_pop_density">'[1]Municipalities &amp; Areas'!$O$6</definedName>
    <definedName name="HMA_urban_area_population">'[1]Municipalities &amp; Areas'!$M$6</definedName>
    <definedName name="HMA_urban_pop_weight_factor">'[1]Municipalities &amp; Areas'!$P$6</definedName>
    <definedName name="IMPEX">[1]CAPEX!$E$118:$Z$118</definedName>
    <definedName name="Learning_curve_class">[1]lists_tables!$D$47:$E$57</definedName>
    <definedName name="LTEfrequency">[1]lists_tables!$P$3:$P$8</definedName>
    <definedName name="market_parameters_data">[1]lists_tables!$G$3:$G$12</definedName>
    <definedName name="market_parameters_messages">[1]lists_tables!$F$3:$F$4</definedName>
    <definedName name="market_parameters_messages_1">[1]Market!$E$244:$Z$245</definedName>
    <definedName name="market_parameters_subscriptions">[1]lists_tables!$D$3:$D$13</definedName>
    <definedName name="market_parameters_voice">[1]lists_tables!$E$3:$E$5</definedName>
    <definedName name="market_parameters_voice_1">[1]Market!$E$240:$Z$242</definedName>
    <definedName name="MaxDataUSc1">Dashboard!#REF!</definedName>
    <definedName name="MaxDataUSc1off">Dashboard!#REF!</definedName>
    <definedName name="MaxDataUSc2">Dashboard!#REF!</definedName>
    <definedName name="MaxDataUSc3">Dashboard!#REF!</definedName>
    <definedName name="MIMO">[1]lists_tables!$M$3:$M$5</definedName>
    <definedName name="MMS_thousand_1">[1]Market!$E$245:$Z$245</definedName>
    <definedName name="Mobile_data_volume_TB_1">[1]Market!$E$248:$Z$248</definedName>
    <definedName name="MSR">[1]lists_tables!$O$3:$O$4</definedName>
    <definedName name="offloading_on_off">inputs!$K$43</definedName>
    <definedName name="Operators">[1]lists_tables!$H$3:$H$7</definedName>
    <definedName name="OPEX_1">[1]OPEX!$E$41:$Z$41</definedName>
    <definedName name="OPEX_10">[1]OPEX!$E$50:$Z$50</definedName>
    <definedName name="OPEX_11">[1]OPEX!$E$51:$Z$51</definedName>
    <definedName name="OPEX_12">[1]OPEX!$E$52:$Z$52</definedName>
    <definedName name="OPEX_2">[1]OPEX!$E$42:$Z$42</definedName>
    <definedName name="OPEX_3">[1]OPEX!$E$43:$Z$43</definedName>
    <definedName name="OPEX_4">[1]OPEX!$E$44:$Z$44</definedName>
    <definedName name="OPEX_5">[1]OPEX!$E$45:$Z$45</definedName>
    <definedName name="OPEX_6">[1]OPEX!$E$46:$Z$46</definedName>
    <definedName name="OPEX_7">[1]OPEX!$E$47:$Z$47</definedName>
    <definedName name="OPEX_8">[1]OPEX!$E$48:$Z$48</definedName>
    <definedName name="OPEX_employee">[1]OPEX!$E$66:$Z$66</definedName>
    <definedName name="OPEX_energy">[1]OPEX!$E$65:$Z$65</definedName>
    <definedName name="OPEX_leased">[1]OPEX!$E$64:$Z$64</definedName>
    <definedName name="OPEX_OAM">[1]OPEX!$E$67:$Z$67</definedName>
    <definedName name="OPEX_site">[1]OPEX!$E$63:$Z$63</definedName>
    <definedName name="Po_10">'[1]Power model'!$C$943</definedName>
    <definedName name="Po_11">'[1]Power model'!$C$1060</definedName>
    <definedName name="Po_12">'[1]Power model'!$C$1149</definedName>
    <definedName name="Po_13">'[1]Power model'!$C$1238</definedName>
    <definedName name="Po_14">'[1]Power model'!$C$1327</definedName>
    <definedName name="Po_15">'[1]Power model'!$C$1416</definedName>
    <definedName name="Po_16">'[1]Power model'!$C$1505</definedName>
    <definedName name="Po_17">'[1]Power model'!$C$1594</definedName>
    <definedName name="Po_18">'[1]Power model'!$C$1669</definedName>
    <definedName name="Po_19">'[1]Power model'!$C$1765</definedName>
    <definedName name="Po_3">'[1]Power model'!$C$291</definedName>
    <definedName name="Po_4">'[1]Power model'!$C$352</definedName>
    <definedName name="Po_5">'[1]Power model'!$C$455</definedName>
    <definedName name="Po_9">'[1]Power model'!$C$805</definedName>
    <definedName name="Population_2005_2015">[1]Market!$E$8:$Z$8</definedName>
    <definedName name="Proportion_of_mobile_data_users_1">[1]Market!$E$247:$Z$247</definedName>
    <definedName name="regions">[1]lists_tables!$I$3:$I$8</definedName>
    <definedName name="rural_area_land">'[1]Municipalities &amp; Areas'!$N$5</definedName>
    <definedName name="rural_area_pop_density">'[1]Municipalities &amp; Areas'!$O$5</definedName>
    <definedName name="rural_area_population">'[1]Municipalities &amp; Areas'!$M$5</definedName>
    <definedName name="rural_pop_weight_factor">'[1]Municipalities &amp; Areas'!$P$5</definedName>
    <definedName name="SMS_million_1">[1]Market!$E$244:$Z$244</definedName>
    <definedName name="solver_adj" localSheetId="2" hidden="1">inputs!$K$44</definedName>
    <definedName name="solver_adj" localSheetId="0" hidden="1">inputs!$K$44</definedName>
    <definedName name="solver_cvg" localSheetId="2" hidden="1">0.0001</definedName>
    <definedName name="solver_cvg" localSheetId="0" hidden="1">0.0001</definedName>
    <definedName name="solver_cvg" localSheetId="1" hidden="1">0.0001</definedName>
    <definedName name="solver_drv" localSheetId="2" hidden="1">1</definedName>
    <definedName name="solver_drv" localSheetId="0" hidden="1">1</definedName>
    <definedName name="solver_drv" localSheetId="1" hidden="1">1</definedName>
    <definedName name="solver_eng" localSheetId="2" hidden="1">2</definedName>
    <definedName name="solver_est" localSheetId="2" hidden="1">1</definedName>
    <definedName name="solver_est" localSheetId="0" hidden="1">1</definedName>
    <definedName name="solver_est" localSheetId="1" hidden="1">1</definedName>
    <definedName name="solver_itr" localSheetId="2" hidden="1">100</definedName>
    <definedName name="solver_itr" localSheetId="0" hidden="1">100</definedName>
    <definedName name="solver_itr" localSheetId="1" hidden="1">100</definedName>
    <definedName name="solver_lhs1" localSheetId="2" hidden="1">'Core Urban'!$AW$131</definedName>
    <definedName name="solver_lhs1" localSheetId="0" hidden="1">Dashboard!#REF!</definedName>
    <definedName name="solver_lhs2" localSheetId="2" hidden="1">'Core Urban'!$L$116</definedName>
    <definedName name="solver_lhs2" localSheetId="0" hidden="1">#REF!</definedName>
    <definedName name="solver_lhs3" localSheetId="0" hidden="1">#REF!</definedName>
    <definedName name="solver_lin" localSheetId="2" hidden="1">1</definedName>
    <definedName name="solver_lin" localSheetId="0" hidden="1">1</definedName>
    <definedName name="solver_lin" localSheetId="1" hidden="1">1</definedName>
    <definedName name="solver_neg" localSheetId="2" hidden="1">1</definedName>
    <definedName name="solver_neg" localSheetId="0" hidden="1">2</definedName>
    <definedName name="solver_neg" localSheetId="1" hidden="1">1</definedName>
    <definedName name="solver_num" localSheetId="2" hidden="1">1</definedName>
    <definedName name="solver_num" localSheetId="0" hidden="1">1</definedName>
    <definedName name="solver_num" localSheetId="1" hidden="1">0</definedName>
    <definedName name="solver_nwt" localSheetId="2" hidden="1">1</definedName>
    <definedName name="solver_nwt" localSheetId="0" hidden="1">1</definedName>
    <definedName name="solver_nwt" localSheetId="1" hidden="1">1</definedName>
    <definedName name="solver_opt" localSheetId="2" hidden="1">'Core Urban'!$AW$131</definedName>
    <definedName name="solver_opt" localSheetId="0" hidden="1">Dashboard!#REF!</definedName>
    <definedName name="solver_pre" localSheetId="2" hidden="1">0.000001</definedName>
    <definedName name="solver_pre" localSheetId="0" hidden="1">0.000001</definedName>
    <definedName name="solver_pre" localSheetId="1" hidden="1">0.000001</definedName>
    <definedName name="solver_rel1" localSheetId="2" hidden="1">2</definedName>
    <definedName name="solver_rel1" localSheetId="0" hidden="1">2</definedName>
    <definedName name="solver_rel2" localSheetId="2" hidden="1">2</definedName>
    <definedName name="solver_rel2" localSheetId="0" hidden="1">1</definedName>
    <definedName name="solver_rel3" localSheetId="0" hidden="1">1</definedName>
    <definedName name="solver_rhs1" localSheetId="2" hidden="1">'Core Urban'!$AX$131</definedName>
    <definedName name="solver_rhs1" localSheetId="0" hidden="1">Dashboard!#REF!</definedName>
    <definedName name="solver_rhs2" localSheetId="2" hidden="1">0</definedName>
    <definedName name="solver_rhs2" localSheetId="0" hidden="1">#REF!</definedName>
    <definedName name="solver_rhs3" localSheetId="0" hidden="1">#REF!</definedName>
    <definedName name="solver_scl" localSheetId="2" hidden="1">2</definedName>
    <definedName name="solver_scl" localSheetId="0" hidden="1">2</definedName>
    <definedName name="solver_scl" localSheetId="1" hidden="1">2</definedName>
    <definedName name="solver_sho" localSheetId="2" hidden="1">2</definedName>
    <definedName name="solver_sho" localSheetId="0" hidden="1">2</definedName>
    <definedName name="solver_sho" localSheetId="1" hidden="1">2</definedName>
    <definedName name="solver_tim" localSheetId="2" hidden="1">9999999999</definedName>
    <definedName name="solver_tim" localSheetId="0" hidden="1">9999999999</definedName>
    <definedName name="solver_tim" localSheetId="1" hidden="1">9999999999</definedName>
    <definedName name="solver_tol" localSheetId="2" hidden="1">0.05</definedName>
    <definedName name="solver_tol" localSheetId="0" hidden="1">0.05</definedName>
    <definedName name="solver_tol" localSheetId="1" hidden="1">0.05</definedName>
    <definedName name="solver_typ" localSheetId="2" hidden="1">2</definedName>
    <definedName name="solver_typ" localSheetId="0" hidden="1">1</definedName>
    <definedName name="solver_typ" localSheetId="1" hidden="1">1</definedName>
    <definedName name="solver_val" localSheetId="2" hidden="1">1</definedName>
    <definedName name="solver_val" localSheetId="0" hidden="1">15000</definedName>
    <definedName name="solver_val" localSheetId="1" hidden="1">0</definedName>
    <definedName name="solver_ver" localSheetId="2" hidden="1">3</definedName>
    <definedName name="subscriptions_1">[1]Market!$E$228:$Z$228</definedName>
    <definedName name="suburban_area_land">'[1]Municipalities &amp; Areas'!$N$4</definedName>
    <definedName name="suburban_area_pop_density">'[1]Municipalities &amp; Areas'!$O$4</definedName>
    <definedName name="suburban_area_population">'[1]Municipalities &amp; Areas'!$M$4</definedName>
    <definedName name="suburban_pop_weight_factor">'[1]Municipalities &amp; Areas'!$P$4</definedName>
    <definedName name="Time">[1]lists_tables!$B$3:$B$24</definedName>
    <definedName name="Time2">[1]lists_tables!$C$3:$C$24</definedName>
    <definedName name="total_land_area">'[1]Municipalities &amp; Areas'!$N$9</definedName>
    <definedName name="total_population">'[1]Municipalities &amp; Areas'!$M$9</definedName>
    <definedName name="urban_area_land">'[1]Municipalities &amp; Areas'!$N$3</definedName>
    <definedName name="urban_area_pop_density">'[1]Municipalities &amp; Areas'!$O$3</definedName>
    <definedName name="urban_area_population">'[1]Municipalities &amp; Areas'!$M$3</definedName>
    <definedName name="urban_pop_weight_factor">'[1]Municipalities &amp; Areas'!$P$3</definedName>
    <definedName name="utran2100R99_HMA_rural">'[1]Network design'!$F$2956:$AA$2956</definedName>
    <definedName name="utran2100R99_HMA_suburban">'[1]Network design'!$F$2955:$AA$2955</definedName>
    <definedName name="utran2100R99_HMA_urban">'[1]Network design'!$F$2954:$AA$2954</definedName>
    <definedName name="utran2100R99_rural">'[1]Network design'!$F$2953:$AA$2953</definedName>
    <definedName name="utran2100R99_suburban">'[1]Network design'!$F$2952:$AA$2952</definedName>
    <definedName name="utran2100R99_urban">'[1]Network design'!$F$2951:$AA$2951</definedName>
    <definedName name="utran900R99_HMA_rural">'[1]Network design'!$F$2884:$AA$2884</definedName>
    <definedName name="utran900R99_HMA_suburban">'[1]Network design'!$F$2883:$AA$2883</definedName>
    <definedName name="utran900R99_HMA_urban">'[1]Network design'!$F$2882:$AA$2882</definedName>
    <definedName name="utran900R99_rural">'[1]Network design'!$F$2881:$AA$2881</definedName>
    <definedName name="utran900R99_suburban">'[1]Network design'!$F$2880:$AA$2880</definedName>
    <definedName name="utran900R99_urban">'[1]Network design'!$F$2879:$AA$2879</definedName>
    <definedName name="Volume_class">[1]lists_tables!$D$27:$F$44</definedName>
    <definedName name="WCDMAfrequency">[1]lists_tables!$N$3:$N$5</definedName>
    <definedName name="WCDMAreleases">[1]lists_tables!$K$3:$K$14</definedName>
  </definedNames>
  <calcPr calcId="171027"/>
</workbook>
</file>

<file path=xl/calcChain.xml><?xml version="1.0" encoding="utf-8"?>
<calcChain xmlns="http://schemas.openxmlformats.org/spreadsheetml/2006/main">
  <c r="D5" i="1" l="1"/>
  <c r="H15" i="7"/>
  <c r="AX100" i="7" l="1"/>
  <c r="AV105" i="7"/>
  <c r="AY83" i="7"/>
  <c r="AW83" i="7"/>
  <c r="AW82" i="7"/>
  <c r="AU45" i="7" l="1"/>
  <c r="AU46" i="7"/>
  <c r="AU39" i="7"/>
  <c r="AU47" i="7" l="1"/>
  <c r="AU42" i="7"/>
  <c r="AS38" i="7"/>
  <c r="AU43" i="7" l="1"/>
  <c r="BA42" i="7"/>
  <c r="AU48" i="7"/>
  <c r="BB46" i="7"/>
  <c r="BI21" i="7"/>
  <c r="BI22" i="7"/>
  <c r="BI20" i="7"/>
  <c r="BB48" i="7" l="1"/>
  <c r="BB45" i="7"/>
  <c r="BB47" i="7"/>
  <c r="BA43" i="7"/>
  <c r="AV13" i="4"/>
  <c r="N35" i="4"/>
  <c r="AX33" i="7"/>
  <c r="Z208" i="7" l="1"/>
  <c r="Y208" i="7"/>
  <c r="G208" i="7"/>
  <c r="G207" i="7"/>
  <c r="G206" i="7"/>
  <c r="Z203" i="7"/>
  <c r="Y203" i="7"/>
  <c r="AC203" i="7" s="1"/>
  <c r="H203" i="7"/>
  <c r="K203" i="7" s="1"/>
  <c r="G203" i="7"/>
  <c r="Z202" i="7"/>
  <c r="Y202" i="7"/>
  <c r="AC202" i="7" s="1"/>
  <c r="H202" i="7"/>
  <c r="K202" i="7" s="1"/>
  <c r="G202" i="7"/>
  <c r="Z199" i="7"/>
  <c r="Y199" i="7"/>
  <c r="G199" i="7"/>
  <c r="Z198" i="7"/>
  <c r="Y198" i="7"/>
  <c r="G198" i="7"/>
  <c r="Z197" i="7"/>
  <c r="Y197" i="7"/>
  <c r="G197" i="7"/>
  <c r="G196" i="7"/>
  <c r="Z193" i="7"/>
  <c r="Y193" i="7"/>
  <c r="H193" i="7"/>
  <c r="G193" i="7"/>
  <c r="Z192" i="7"/>
  <c r="Y192" i="7"/>
  <c r="G192" i="7"/>
  <c r="Z191" i="7"/>
  <c r="Y191" i="7"/>
  <c r="AC191" i="7" s="1"/>
  <c r="G191" i="7"/>
  <c r="Z172" i="7"/>
  <c r="Y172" i="7"/>
  <c r="G172" i="7"/>
  <c r="G171" i="7"/>
  <c r="Z167" i="7"/>
  <c r="Y167" i="7"/>
  <c r="AC167" i="7" s="1"/>
  <c r="K167" i="7"/>
  <c r="H167" i="7"/>
  <c r="G167" i="7"/>
  <c r="Z166" i="7"/>
  <c r="Y166" i="7"/>
  <c r="AC166" i="7" s="1"/>
  <c r="H166" i="7"/>
  <c r="G166" i="7"/>
  <c r="K166" i="7" s="1"/>
  <c r="Z163" i="7"/>
  <c r="Y163" i="7"/>
  <c r="H163" i="7"/>
  <c r="G163" i="7"/>
  <c r="Z162" i="7"/>
  <c r="Y162" i="7"/>
  <c r="G162" i="7"/>
  <c r="Z161" i="7"/>
  <c r="Y161" i="7"/>
  <c r="H161" i="7"/>
  <c r="G161" i="7"/>
  <c r="Z157" i="7"/>
  <c r="Y157" i="7"/>
  <c r="H157" i="7"/>
  <c r="G157" i="7"/>
  <c r="Z156" i="7"/>
  <c r="Y156" i="7"/>
  <c r="G156" i="7"/>
  <c r="Z155" i="7"/>
  <c r="Y155" i="7"/>
  <c r="AC155" i="7" s="1"/>
  <c r="G155" i="7"/>
  <c r="E148" i="7"/>
  <c r="Z138" i="7"/>
  <c r="Y138" i="7"/>
  <c r="AC138" i="7" s="1"/>
  <c r="G138" i="7"/>
  <c r="G137" i="7"/>
  <c r="AU153" i="7"/>
  <c r="AX153" i="7" s="1"/>
  <c r="Z133" i="7"/>
  <c r="Y133" i="7"/>
  <c r="H133" i="7"/>
  <c r="G133" i="7"/>
  <c r="Z132" i="7"/>
  <c r="Y132" i="7"/>
  <c r="H132" i="7"/>
  <c r="G132" i="7"/>
  <c r="Z129" i="7"/>
  <c r="Y129" i="7"/>
  <c r="G129" i="7"/>
  <c r="Z128" i="7"/>
  <c r="Y128" i="7"/>
  <c r="G128" i="7"/>
  <c r="Z127" i="7"/>
  <c r="Y127" i="7"/>
  <c r="G127" i="7"/>
  <c r="AX144" i="7"/>
  <c r="Z123" i="7"/>
  <c r="Y123" i="7"/>
  <c r="H123" i="7"/>
  <c r="G123" i="7"/>
  <c r="Z122" i="7"/>
  <c r="Y122" i="7"/>
  <c r="G122" i="7"/>
  <c r="Z121" i="7"/>
  <c r="Y121" i="7"/>
  <c r="G121" i="7"/>
  <c r="E113" i="7"/>
  <c r="P106" i="7"/>
  <c r="H105" i="7"/>
  <c r="Z97" i="7"/>
  <c r="Y97" i="7"/>
  <c r="G97" i="7"/>
  <c r="I97" i="7" s="1"/>
  <c r="Z96" i="7"/>
  <c r="Y96" i="7"/>
  <c r="G96" i="7"/>
  <c r="I96" i="7" s="1"/>
  <c r="Z95" i="7"/>
  <c r="Y95" i="7"/>
  <c r="AC95" i="7" s="1"/>
  <c r="G95" i="7"/>
  <c r="I95" i="7" s="1"/>
  <c r="Z94" i="7"/>
  <c r="Y94" i="7"/>
  <c r="G94" i="7"/>
  <c r="I94" i="7" s="1"/>
  <c r="Z93" i="7"/>
  <c r="Y93" i="7"/>
  <c r="G93" i="7"/>
  <c r="I93" i="7" s="1"/>
  <c r="Z92" i="7"/>
  <c r="Y92" i="7"/>
  <c r="G92" i="7"/>
  <c r="I92" i="7" s="1"/>
  <c r="P92" i="7" s="1"/>
  <c r="Z91" i="7"/>
  <c r="Y91" i="7"/>
  <c r="G91" i="7"/>
  <c r="I91" i="7" s="1"/>
  <c r="I44" i="7" s="1"/>
  <c r="Z90" i="7"/>
  <c r="Y90" i="7"/>
  <c r="G90" i="7"/>
  <c r="I90" i="7" s="1"/>
  <c r="I43" i="7" s="1"/>
  <c r="Z89" i="7"/>
  <c r="Y89" i="7"/>
  <c r="G89" i="7"/>
  <c r="I89" i="7" s="1"/>
  <c r="I42" i="7" s="1"/>
  <c r="Z88" i="7"/>
  <c r="Y88" i="7"/>
  <c r="G88" i="7"/>
  <c r="I88" i="7" s="1"/>
  <c r="AV103" i="7"/>
  <c r="Z87" i="7"/>
  <c r="Y87" i="7"/>
  <c r="G87" i="7"/>
  <c r="I87" i="7" s="1"/>
  <c r="P87" i="7" s="1"/>
  <c r="Z86" i="7"/>
  <c r="Y86" i="7"/>
  <c r="G86" i="7"/>
  <c r="I86" i="7" s="1"/>
  <c r="P86" i="7" s="1"/>
  <c r="Z85" i="7"/>
  <c r="Y85" i="7"/>
  <c r="G85" i="7"/>
  <c r="I85" i="7" s="1"/>
  <c r="P85" i="7" s="1"/>
  <c r="AV100" i="7"/>
  <c r="AV122" i="7" s="1"/>
  <c r="Z84" i="7"/>
  <c r="Y84" i="7"/>
  <c r="AC84" i="7" s="1"/>
  <c r="G84" i="7"/>
  <c r="I84" i="7" s="1"/>
  <c r="J84" i="7" s="1"/>
  <c r="Z83" i="7"/>
  <c r="Y83" i="7"/>
  <c r="G83" i="7"/>
  <c r="I83" i="7" s="1"/>
  <c r="Z82" i="7"/>
  <c r="Y82" i="7"/>
  <c r="G82" i="7"/>
  <c r="I82" i="7" s="1"/>
  <c r="Z81" i="7"/>
  <c r="Y81" i="7"/>
  <c r="G81" i="7"/>
  <c r="I81" i="7" s="1"/>
  <c r="P81" i="7" s="1"/>
  <c r="Z80" i="7"/>
  <c r="Y80" i="7"/>
  <c r="AC80" i="7" s="1"/>
  <c r="G80" i="7"/>
  <c r="I80" i="7" s="1"/>
  <c r="J80" i="7" s="1"/>
  <c r="N79" i="7"/>
  <c r="H77" i="7"/>
  <c r="G77" i="7"/>
  <c r="I77" i="7" s="1"/>
  <c r="G76" i="7"/>
  <c r="G75" i="7"/>
  <c r="AV90" i="7"/>
  <c r="AV104" i="7" s="1"/>
  <c r="G74" i="7"/>
  <c r="Z73" i="7"/>
  <c r="Y73" i="7"/>
  <c r="G73" i="7"/>
  <c r="H72" i="7"/>
  <c r="G72" i="7"/>
  <c r="G71" i="7"/>
  <c r="Z70" i="7"/>
  <c r="Y70" i="7"/>
  <c r="G70" i="7"/>
  <c r="AV85" i="7"/>
  <c r="AW85" i="7" s="1"/>
  <c r="H69" i="7"/>
  <c r="G69" i="7"/>
  <c r="F69" i="7"/>
  <c r="AV84" i="7"/>
  <c r="AW84" i="7" s="1"/>
  <c r="G68" i="7"/>
  <c r="F68" i="7"/>
  <c r="Z67" i="7"/>
  <c r="Y67" i="7"/>
  <c r="G67" i="7"/>
  <c r="F67" i="7"/>
  <c r="H66" i="7"/>
  <c r="G66" i="7"/>
  <c r="G65" i="7"/>
  <c r="Z64" i="7"/>
  <c r="Y64" i="7"/>
  <c r="G64" i="7"/>
  <c r="H63" i="7"/>
  <c r="G63" i="7"/>
  <c r="G62" i="7"/>
  <c r="Z61" i="7"/>
  <c r="Y61" i="7"/>
  <c r="G61" i="7"/>
  <c r="H60" i="7"/>
  <c r="H104" i="7" s="1"/>
  <c r="G60" i="7"/>
  <c r="G59" i="7"/>
  <c r="Z58" i="7"/>
  <c r="Y58" i="7"/>
  <c r="G58" i="7"/>
  <c r="H57" i="7"/>
  <c r="G57" i="7"/>
  <c r="Z56" i="7"/>
  <c r="Y56" i="7"/>
  <c r="G56" i="7"/>
  <c r="H55" i="7"/>
  <c r="G55" i="7"/>
  <c r="F55" i="7"/>
  <c r="Z54" i="7"/>
  <c r="Y54" i="7"/>
  <c r="G54" i="7"/>
  <c r="F54" i="7"/>
  <c r="L50" i="7"/>
  <c r="L97" i="7" s="1"/>
  <c r="H50" i="7"/>
  <c r="L49" i="7"/>
  <c r="H49" i="7"/>
  <c r="L48" i="7"/>
  <c r="L47" i="7"/>
  <c r="L94" i="7" s="1"/>
  <c r="L46" i="7"/>
  <c r="L45" i="7"/>
  <c r="L44" i="7"/>
  <c r="L91" i="7" s="1"/>
  <c r="H44" i="7"/>
  <c r="L43" i="7"/>
  <c r="H43" i="7"/>
  <c r="AV58" i="7"/>
  <c r="AU58" i="7"/>
  <c r="AU63" i="7" s="1"/>
  <c r="L42" i="7"/>
  <c r="L89" i="7" s="1"/>
  <c r="H42" i="7"/>
  <c r="AU57" i="7"/>
  <c r="AU62" i="7" s="1"/>
  <c r="L41" i="7"/>
  <c r="H41" i="7"/>
  <c r="L40" i="7"/>
  <c r="L39" i="7"/>
  <c r="AI38" i="7"/>
  <c r="AK38" i="7" s="1"/>
  <c r="AL38" i="7" s="1"/>
  <c r="AM38" i="7" s="1"/>
  <c r="L38" i="7"/>
  <c r="AU37" i="7"/>
  <c r="L37" i="7"/>
  <c r="L36" i="7"/>
  <c r="L35" i="7"/>
  <c r="AU34" i="7"/>
  <c r="L34" i="7"/>
  <c r="L33" i="7"/>
  <c r="Z29" i="7"/>
  <c r="Y29" i="7"/>
  <c r="L29" i="7"/>
  <c r="I29" i="7"/>
  <c r="V29" i="7" s="1"/>
  <c r="Z28" i="7"/>
  <c r="Y28" i="7"/>
  <c r="AC28" i="7" s="1"/>
  <c r="L28" i="7"/>
  <c r="W28" i="7" s="1"/>
  <c r="I28" i="7"/>
  <c r="U28" i="7" s="1"/>
  <c r="Z27" i="7"/>
  <c r="Y27" i="7"/>
  <c r="L27" i="7"/>
  <c r="I27" i="7"/>
  <c r="Z25" i="7"/>
  <c r="Y25" i="7"/>
  <c r="AC25" i="7" s="1"/>
  <c r="I25" i="7"/>
  <c r="V25" i="7" s="1"/>
  <c r="D25" i="7"/>
  <c r="L25" i="7" s="1"/>
  <c r="Z24" i="7"/>
  <c r="Y24" i="7"/>
  <c r="AC24" i="7" s="1"/>
  <c r="I24" i="7"/>
  <c r="U24" i="7" s="1"/>
  <c r="D24" i="7"/>
  <c r="L24" i="7" s="1"/>
  <c r="Z23" i="7"/>
  <c r="Y23" i="7"/>
  <c r="I23" i="7"/>
  <c r="U23" i="7" s="1"/>
  <c r="D23" i="7"/>
  <c r="L23" i="7" s="1"/>
  <c r="Z22" i="7"/>
  <c r="Y22" i="7"/>
  <c r="L22" i="7"/>
  <c r="W22" i="7" s="1"/>
  <c r="I22" i="7"/>
  <c r="U22" i="7" s="1"/>
  <c r="Z21" i="7"/>
  <c r="Y21" i="7"/>
  <c r="I21" i="7"/>
  <c r="U21" i="7" s="1"/>
  <c r="D21" i="7"/>
  <c r="L21" i="7" s="1"/>
  <c r="Z20" i="7"/>
  <c r="Y20" i="7"/>
  <c r="I20" i="7"/>
  <c r="U20" i="7" s="1"/>
  <c r="D20" i="7"/>
  <c r="L20" i="7" s="1"/>
  <c r="W20" i="7" s="1"/>
  <c r="Z19" i="7"/>
  <c r="Y19" i="7"/>
  <c r="I19" i="7"/>
  <c r="U19" i="7" s="1"/>
  <c r="D19" i="7"/>
  <c r="L19" i="7" s="1"/>
  <c r="W19" i="7" s="1"/>
  <c r="Z18" i="7"/>
  <c r="Y18" i="7"/>
  <c r="L18" i="7"/>
  <c r="W18" i="7" s="1"/>
  <c r="I18" i="7"/>
  <c r="U18" i="7" s="1"/>
  <c r="Z17" i="7"/>
  <c r="Y17" i="7"/>
  <c r="AC17" i="7" s="1"/>
  <c r="V17" i="7"/>
  <c r="I17" i="7"/>
  <c r="U17" i="7" s="1"/>
  <c r="D17" i="7"/>
  <c r="L17" i="7" s="1"/>
  <c r="BE16" i="7"/>
  <c r="AV57" i="7" s="1"/>
  <c r="AV62" i="7" s="1"/>
  <c r="AZ16" i="7"/>
  <c r="BF16" i="7" s="1"/>
  <c r="Z16" i="7"/>
  <c r="Y16" i="7"/>
  <c r="I16" i="7"/>
  <c r="U16" i="7" s="1"/>
  <c r="D16" i="7"/>
  <c r="L16" i="7" s="1"/>
  <c r="Z15" i="7"/>
  <c r="Y15" i="7"/>
  <c r="D15" i="7"/>
  <c r="L15" i="7" s="1"/>
  <c r="Z14" i="7"/>
  <c r="Y14" i="7"/>
  <c r="L14" i="7"/>
  <c r="I14" i="7"/>
  <c r="V14" i="7" s="1"/>
  <c r="BJ10" i="7"/>
  <c r="Z10" i="7"/>
  <c r="Y10" i="7"/>
  <c r="AC10" i="7" s="1"/>
  <c r="W10" i="7"/>
  <c r="BJ9" i="7"/>
  <c r="Z9" i="7"/>
  <c r="Y9" i="7"/>
  <c r="L9" i="7"/>
  <c r="W9" i="7" s="1"/>
  <c r="I9" i="7"/>
  <c r="V9" i="7" s="1"/>
  <c r="L8" i="7"/>
  <c r="I8" i="7"/>
  <c r="H8" i="7"/>
  <c r="L7" i="7"/>
  <c r="I7" i="7"/>
  <c r="H7" i="7"/>
  <c r="Z6" i="7"/>
  <c r="Y6" i="7"/>
  <c r="L6" i="7"/>
  <c r="I6" i="7"/>
  <c r="H6" i="7"/>
  <c r="Z5" i="7"/>
  <c r="Y5" i="7"/>
  <c r="L5" i="7"/>
  <c r="BC2" i="7"/>
  <c r="M82" i="4"/>
  <c r="M81" i="4"/>
  <c r="M79" i="4"/>
  <c r="M78" i="4"/>
  <c r="M75" i="4"/>
  <c r="P66" i="4"/>
  <c r="P65" i="4"/>
  <c r="P58" i="4"/>
  <c r="P60" i="4" s="1"/>
  <c r="T55" i="4"/>
  <c r="P55" i="4"/>
  <c r="P54" i="4"/>
  <c r="P53" i="4"/>
  <c r="B53" i="4"/>
  <c r="B52" i="4"/>
  <c r="B51" i="4"/>
  <c r="B50" i="4"/>
  <c r="B49" i="4"/>
  <c r="B46" i="4"/>
  <c r="B45" i="4"/>
  <c r="B44" i="4"/>
  <c r="B43" i="4"/>
  <c r="B42" i="4"/>
  <c r="B39" i="4"/>
  <c r="B38" i="4"/>
  <c r="B37" i="4"/>
  <c r="B36" i="4"/>
  <c r="B35" i="4"/>
  <c r="B32" i="4"/>
  <c r="B31" i="4"/>
  <c r="B30" i="4"/>
  <c r="B29" i="4"/>
  <c r="B28" i="4"/>
  <c r="B25" i="4"/>
  <c r="B24" i="4"/>
  <c r="B23" i="4"/>
  <c r="B22" i="4"/>
  <c r="B21" i="4"/>
  <c r="B17" i="4"/>
  <c r="G11" i="4"/>
  <c r="F11" i="4"/>
  <c r="B10" i="4"/>
  <c r="E37" i="1"/>
  <c r="O24" i="1"/>
  <c r="N24" i="1"/>
  <c r="M24" i="1"/>
  <c r="L24" i="1"/>
  <c r="K24" i="1"/>
  <c r="J24" i="1"/>
  <c r="I24" i="1"/>
  <c r="H24" i="1"/>
  <c r="G24" i="1"/>
  <c r="F24" i="1"/>
  <c r="E24" i="1"/>
  <c r="O21" i="1"/>
  <c r="N21" i="1"/>
  <c r="M21" i="1"/>
  <c r="L21" i="1"/>
  <c r="K21" i="1"/>
  <c r="J21" i="1"/>
  <c r="I21" i="1"/>
  <c r="H21" i="1"/>
  <c r="G21" i="1"/>
  <c r="F21" i="1"/>
  <c r="E21" i="1"/>
  <c r="E20" i="1"/>
  <c r="E36" i="1" s="1"/>
  <c r="E38" i="1" s="1"/>
  <c r="D12" i="1"/>
  <c r="D20" i="1" s="1"/>
  <c r="D6" i="1"/>
  <c r="D4" i="1"/>
  <c r="V16" i="7" l="1"/>
  <c r="I72" i="7"/>
  <c r="J72" i="7" s="1"/>
  <c r="AC16" i="7"/>
  <c r="K132" i="7"/>
  <c r="K122" i="7" s="1"/>
  <c r="H122" i="7" s="1"/>
  <c r="H121" i="7" s="1"/>
  <c r="K121" i="7" s="1"/>
  <c r="K161" i="7"/>
  <c r="AC22" i="7"/>
  <c r="V24" i="7"/>
  <c r="H37" i="7"/>
  <c r="AC67" i="7"/>
  <c r="V19" i="7"/>
  <c r="I66" i="7"/>
  <c r="J66" i="7" s="1"/>
  <c r="K66" i="7" s="1"/>
  <c r="H65" i="7" s="1"/>
  <c r="AC5" i="7"/>
  <c r="AC9" i="7"/>
  <c r="AC14" i="7"/>
  <c r="AC15" i="7"/>
  <c r="J16" i="7"/>
  <c r="O16" i="7" s="1"/>
  <c r="J17" i="7"/>
  <c r="O17" i="7" s="1"/>
  <c r="V20" i="7"/>
  <c r="AC6" i="7"/>
  <c r="AC20" i="7"/>
  <c r="AC21" i="7"/>
  <c r="I57" i="7"/>
  <c r="J57" i="7" s="1"/>
  <c r="AC61" i="7"/>
  <c r="AC85" i="7"/>
  <c r="AC86" i="7"/>
  <c r="AC92" i="7"/>
  <c r="AC96" i="7"/>
  <c r="V97" i="7"/>
  <c r="I50" i="7"/>
  <c r="J97" i="7"/>
  <c r="J50" i="7" s="1"/>
  <c r="O50" i="7" s="1"/>
  <c r="R97" i="7"/>
  <c r="I49" i="7"/>
  <c r="J77" i="7"/>
  <c r="J18" i="7"/>
  <c r="V18" i="7"/>
  <c r="J23" i="7"/>
  <c r="O23" i="7" s="1"/>
  <c r="I63" i="7"/>
  <c r="J63" i="7" s="1"/>
  <c r="K63" i="7" s="1"/>
  <c r="H62" i="7" s="1"/>
  <c r="I62" i="7" s="1"/>
  <c r="J62" i="7" s="1"/>
  <c r="I69" i="7"/>
  <c r="AC81" i="7"/>
  <c r="AC87" i="7"/>
  <c r="AC121" i="7"/>
  <c r="AC122" i="7"/>
  <c r="AC123" i="7"/>
  <c r="AC127" i="7"/>
  <c r="K133" i="7"/>
  <c r="H5" i="7"/>
  <c r="H107" i="7" s="1"/>
  <c r="J21" i="7"/>
  <c r="O21" i="7" s="1"/>
  <c r="V23" i="7"/>
  <c r="J28" i="7"/>
  <c r="V28" i="7"/>
  <c r="AC94" i="7"/>
  <c r="K163" i="7"/>
  <c r="AC18" i="7"/>
  <c r="J19" i="7"/>
  <c r="K19" i="7" s="1"/>
  <c r="AC19" i="7"/>
  <c r="J20" i="7"/>
  <c r="K20" i="7" s="1"/>
  <c r="V21" i="7"/>
  <c r="J22" i="7"/>
  <c r="V22" i="7"/>
  <c r="AC23" i="7"/>
  <c r="J24" i="7"/>
  <c r="K24" i="7" s="1"/>
  <c r="M24" i="7" s="1"/>
  <c r="N24" i="7" s="1"/>
  <c r="AC27" i="7"/>
  <c r="I34" i="7"/>
  <c r="AC83" i="7"/>
  <c r="AC93" i="7"/>
  <c r="AC129" i="7"/>
  <c r="AC132" i="7"/>
  <c r="AC133" i="7"/>
  <c r="AC156" i="7"/>
  <c r="AC157" i="7"/>
  <c r="AC161" i="7"/>
  <c r="AC162" i="7"/>
  <c r="AC163" i="7"/>
  <c r="K168" i="7"/>
  <c r="AC192" i="7"/>
  <c r="AC193" i="7"/>
  <c r="Q65" i="4"/>
  <c r="Q66" i="4" s="1"/>
  <c r="P61" i="4"/>
  <c r="P59" i="4" s="1"/>
  <c r="W25" i="7"/>
  <c r="L192" i="7"/>
  <c r="L156" i="7"/>
  <c r="L122" i="7"/>
  <c r="W6" i="7"/>
  <c r="L193" i="7"/>
  <c r="L157" i="7"/>
  <c r="L123" i="7"/>
  <c r="L198" i="7"/>
  <c r="L162" i="7"/>
  <c r="L128" i="7"/>
  <c r="M19" i="7"/>
  <c r="N19" i="7" s="1"/>
  <c r="W24" i="7"/>
  <c r="L166" i="7"/>
  <c r="M166" i="7" s="1"/>
  <c r="L202" i="7"/>
  <c r="M202" i="7" s="1"/>
  <c r="L132" i="7"/>
  <c r="W27" i="7"/>
  <c r="AV34" i="7"/>
  <c r="L86" i="7"/>
  <c r="L67" i="7"/>
  <c r="L161" i="7"/>
  <c r="M161" i="7" s="1"/>
  <c r="L197" i="7"/>
  <c r="L127" i="7"/>
  <c r="W14" i="7"/>
  <c r="W15" i="7"/>
  <c r="K23" i="7"/>
  <c r="M23" i="7" s="1"/>
  <c r="N23" i="7" s="1"/>
  <c r="L85" i="7"/>
  <c r="L60" i="7"/>
  <c r="W17" i="7"/>
  <c r="L199" i="7"/>
  <c r="L163" i="7"/>
  <c r="L129" i="7"/>
  <c r="W21" i="7"/>
  <c r="L87" i="7"/>
  <c r="L68" i="7"/>
  <c r="L90" i="7"/>
  <c r="W16" i="7"/>
  <c r="M20" i="7"/>
  <c r="N20" i="7" s="1"/>
  <c r="O20" i="7"/>
  <c r="W23" i="7"/>
  <c r="W29" i="7"/>
  <c r="AC29" i="7"/>
  <c r="L191" i="7"/>
  <c r="L155" i="7"/>
  <c r="L121" i="7"/>
  <c r="W5" i="7"/>
  <c r="U9" i="7"/>
  <c r="U14" i="7"/>
  <c r="U25" i="7"/>
  <c r="L167" i="7"/>
  <c r="M167" i="7" s="1"/>
  <c r="L203" i="7"/>
  <c r="M203" i="7" s="1"/>
  <c r="L133" i="7"/>
  <c r="U29" i="7"/>
  <c r="I30" i="7"/>
  <c r="F184" i="7"/>
  <c r="L172" i="7"/>
  <c r="L208" i="7"/>
  <c r="L138" i="7"/>
  <c r="F147" i="7"/>
  <c r="L82" i="7"/>
  <c r="L62" i="7"/>
  <c r="L66" i="7"/>
  <c r="O66" i="7" s="1"/>
  <c r="L56" i="7"/>
  <c r="L55" i="7"/>
  <c r="W91" i="7"/>
  <c r="L92" i="7"/>
  <c r="L73" i="7"/>
  <c r="L70" i="7"/>
  <c r="J9" i="7"/>
  <c r="J14" i="7"/>
  <c r="J25" i="7"/>
  <c r="J27" i="7"/>
  <c r="J29" i="7"/>
  <c r="L81" i="7"/>
  <c r="L65" i="7"/>
  <c r="L84" i="7"/>
  <c r="L57" i="7"/>
  <c r="L59" i="7"/>
  <c r="L63" i="7"/>
  <c r="O63" i="7" s="1"/>
  <c r="W89" i="7"/>
  <c r="L95" i="7"/>
  <c r="L76" i="7"/>
  <c r="K57" i="7"/>
  <c r="K72" i="7"/>
  <c r="L171" i="7"/>
  <c r="L207" i="7"/>
  <c r="L137" i="7"/>
  <c r="L80" i="7"/>
  <c r="L61" i="7"/>
  <c r="L54" i="7"/>
  <c r="L64" i="7"/>
  <c r="L83" i="7"/>
  <c r="L58" i="7"/>
  <c r="L88" i="7"/>
  <c r="L69" i="7"/>
  <c r="L93" i="7"/>
  <c r="L71" i="7"/>
  <c r="L74" i="7"/>
  <c r="AC58" i="7"/>
  <c r="AC64" i="7"/>
  <c r="AC73" i="7"/>
  <c r="V88" i="7"/>
  <c r="R88" i="7"/>
  <c r="J88" i="7"/>
  <c r="U88" i="7"/>
  <c r="Q88" i="7"/>
  <c r="P88" i="7"/>
  <c r="W94" i="7"/>
  <c r="AC54" i="7"/>
  <c r="I55" i="7"/>
  <c r="AC56" i="7"/>
  <c r="AC70" i="7"/>
  <c r="L96" i="7"/>
  <c r="L77" i="7"/>
  <c r="O77" i="7" s="1"/>
  <c r="W97" i="7"/>
  <c r="L72" i="7"/>
  <c r="M72" i="7" s="1"/>
  <c r="N72" i="7" s="1"/>
  <c r="K77" i="7"/>
  <c r="H73" i="7" s="1"/>
  <c r="I73" i="7" s="1"/>
  <c r="V83" i="7"/>
  <c r="R83" i="7"/>
  <c r="J83" i="7"/>
  <c r="U83" i="7"/>
  <c r="Q83" i="7"/>
  <c r="P83" i="7"/>
  <c r="V90" i="7"/>
  <c r="R90" i="7"/>
  <c r="J90" i="7"/>
  <c r="U90" i="7"/>
  <c r="Q90" i="7"/>
  <c r="P90" i="7"/>
  <c r="I60" i="7"/>
  <c r="L75" i="7"/>
  <c r="V82" i="7"/>
  <c r="R82" i="7"/>
  <c r="J82" i="7"/>
  <c r="U82" i="7"/>
  <c r="Q82" i="7"/>
  <c r="P82" i="7"/>
  <c r="O84" i="7"/>
  <c r="V89" i="7"/>
  <c r="R89" i="7"/>
  <c r="J89" i="7"/>
  <c r="U89" i="7"/>
  <c r="Q89" i="7"/>
  <c r="P89" i="7"/>
  <c r="Q81" i="7"/>
  <c r="U81" i="7"/>
  <c r="AC82" i="7"/>
  <c r="Q85" i="7"/>
  <c r="U85" i="7"/>
  <c r="Q86" i="7"/>
  <c r="U86" i="7"/>
  <c r="Q87" i="7"/>
  <c r="U87" i="7"/>
  <c r="AC88" i="7"/>
  <c r="V91" i="7"/>
  <c r="R91" i="7"/>
  <c r="J91" i="7"/>
  <c r="U91" i="7"/>
  <c r="Q91" i="7"/>
  <c r="P95" i="7"/>
  <c r="V95" i="7"/>
  <c r="R95" i="7"/>
  <c r="J95" i="7"/>
  <c r="U95" i="7"/>
  <c r="Q95" i="7"/>
  <c r="K80" i="7"/>
  <c r="O80" i="7"/>
  <c r="J81" i="7"/>
  <c r="R81" i="7"/>
  <c r="V81" i="7"/>
  <c r="K84" i="7"/>
  <c r="J85" i="7"/>
  <c r="S85" i="7" s="1"/>
  <c r="R85" i="7"/>
  <c r="V85" i="7"/>
  <c r="J86" i="7"/>
  <c r="R86" i="7"/>
  <c r="V86" i="7"/>
  <c r="J87" i="7"/>
  <c r="R87" i="7"/>
  <c r="V87" i="7"/>
  <c r="AC89" i="7"/>
  <c r="AC90" i="7"/>
  <c r="P94" i="7"/>
  <c r="V94" i="7"/>
  <c r="R94" i="7"/>
  <c r="J94" i="7"/>
  <c r="U94" i="7"/>
  <c r="Q94" i="7"/>
  <c r="P91" i="7"/>
  <c r="AC91" i="7"/>
  <c r="P93" i="7"/>
  <c r="V93" i="7"/>
  <c r="R93" i="7"/>
  <c r="J93" i="7"/>
  <c r="U93" i="7"/>
  <c r="Q93" i="7"/>
  <c r="I98" i="7"/>
  <c r="V92" i="7"/>
  <c r="R92" i="7"/>
  <c r="J92" i="7"/>
  <c r="U92" i="7"/>
  <c r="Q92" i="7"/>
  <c r="V96" i="7"/>
  <c r="R96" i="7"/>
  <c r="J96" i="7"/>
  <c r="U96" i="7"/>
  <c r="Q96" i="7"/>
  <c r="P96" i="7"/>
  <c r="AC97" i="7"/>
  <c r="AC128" i="7"/>
  <c r="K204" i="7"/>
  <c r="K192" i="7"/>
  <c r="H192" i="7" s="1"/>
  <c r="H191" i="7" s="1"/>
  <c r="K191" i="7" s="1"/>
  <c r="P97" i="7"/>
  <c r="U97" i="7"/>
  <c r="Q97" i="7"/>
  <c r="AC197" i="7"/>
  <c r="AC198" i="7"/>
  <c r="AC199" i="7"/>
  <c r="AC208" i="7"/>
  <c r="AC172" i="7"/>
  <c r="K156" i="7"/>
  <c r="H156" i="7" s="1"/>
  <c r="H155" i="7" s="1"/>
  <c r="K155" i="7" s="1"/>
  <c r="I5" i="7" l="1"/>
  <c r="M132" i="7"/>
  <c r="S83" i="7"/>
  <c r="O57" i="7"/>
  <c r="M121" i="7"/>
  <c r="M163" i="7"/>
  <c r="K16" i="7"/>
  <c r="M16" i="7" s="1"/>
  <c r="N16" i="7" s="1"/>
  <c r="K134" i="7"/>
  <c r="K97" i="7"/>
  <c r="K50" i="7" s="1"/>
  <c r="M50" i="7" s="1"/>
  <c r="N50" i="7" s="1"/>
  <c r="S91" i="7"/>
  <c r="O97" i="7"/>
  <c r="O24" i="7"/>
  <c r="M122" i="7"/>
  <c r="S96" i="7"/>
  <c r="K21" i="7"/>
  <c r="M21" i="7" s="1"/>
  <c r="N21" i="7" s="1"/>
  <c r="K17" i="7"/>
  <c r="M17" i="7" s="1"/>
  <c r="N17" i="7" s="1"/>
  <c r="O19" i="7"/>
  <c r="K22" i="7"/>
  <c r="M22" i="7" s="1"/>
  <c r="N22" i="7" s="1"/>
  <c r="O22" i="7"/>
  <c r="K18" i="7"/>
  <c r="M18" i="7" s="1"/>
  <c r="N18" i="7" s="1"/>
  <c r="O18" i="7"/>
  <c r="M63" i="7"/>
  <c r="N63" i="7" s="1"/>
  <c r="M133" i="7"/>
  <c r="M134" i="7" s="1"/>
  <c r="S94" i="7"/>
  <c r="S89" i="7"/>
  <c r="K28" i="7"/>
  <c r="J7" i="7"/>
  <c r="O7" i="7" s="1"/>
  <c r="O28" i="7"/>
  <c r="J69" i="7"/>
  <c r="K69" i="7" s="1"/>
  <c r="M69" i="7" s="1"/>
  <c r="N69" i="7" s="1"/>
  <c r="I41" i="7"/>
  <c r="R73" i="7"/>
  <c r="J73" i="7"/>
  <c r="V73" i="7"/>
  <c r="Q73" i="7"/>
  <c r="U73" i="7"/>
  <c r="P73" i="7"/>
  <c r="S93" i="7"/>
  <c r="O81" i="7"/>
  <c r="K81" i="7"/>
  <c r="K34" i="7" s="1"/>
  <c r="M34" i="7" s="1"/>
  <c r="N34" i="7" s="1"/>
  <c r="J34" i="7"/>
  <c r="O34" i="7" s="1"/>
  <c r="S95" i="7"/>
  <c r="O89" i="7"/>
  <c r="K89" i="7"/>
  <c r="J42" i="7"/>
  <c r="O42" i="7" s="1"/>
  <c r="S82" i="7"/>
  <c r="J60" i="7"/>
  <c r="J38" i="7" s="1"/>
  <c r="O38" i="7" s="1"/>
  <c r="I38" i="7"/>
  <c r="S90" i="7"/>
  <c r="S88" i="7"/>
  <c r="W93" i="7"/>
  <c r="W83" i="7"/>
  <c r="M80" i="7"/>
  <c r="W80" i="7"/>
  <c r="H71" i="7"/>
  <c r="H70" i="7"/>
  <c r="W95" i="7"/>
  <c r="O27" i="7"/>
  <c r="K27" i="7"/>
  <c r="J30" i="7"/>
  <c r="J6" i="7"/>
  <c r="O6" i="7" s="1"/>
  <c r="M66" i="7"/>
  <c r="N66" i="7" s="1"/>
  <c r="M191" i="7"/>
  <c r="W90" i="7"/>
  <c r="I11" i="7"/>
  <c r="J5" i="7"/>
  <c r="M204" i="7"/>
  <c r="O92" i="7"/>
  <c r="K92" i="7"/>
  <c r="M92" i="7" s="1"/>
  <c r="N92" i="7" s="1"/>
  <c r="O93" i="7"/>
  <c r="K93" i="7"/>
  <c r="M93" i="7" s="1"/>
  <c r="N93" i="7" s="1"/>
  <c r="O95" i="7"/>
  <c r="K95" i="7"/>
  <c r="M77" i="7"/>
  <c r="N77" i="7" s="1"/>
  <c r="W64" i="7"/>
  <c r="O72" i="7"/>
  <c r="O62" i="7"/>
  <c r="K62" i="7"/>
  <c r="M57" i="7"/>
  <c r="N57" i="7" s="1"/>
  <c r="W81" i="7"/>
  <c r="O25" i="7"/>
  <c r="K25" i="7"/>
  <c r="M25" i="7" s="1"/>
  <c r="N25" i="7" s="1"/>
  <c r="W70" i="7"/>
  <c r="M62" i="7"/>
  <c r="N62" i="7" s="1"/>
  <c r="W67" i="7"/>
  <c r="M168" i="7"/>
  <c r="O96" i="7"/>
  <c r="K96" i="7"/>
  <c r="K49" i="7" s="1"/>
  <c r="M49" i="7" s="1"/>
  <c r="N49" i="7" s="1"/>
  <c r="J49" i="7"/>
  <c r="O49" i="7" s="1"/>
  <c r="O94" i="7"/>
  <c r="K94" i="7"/>
  <c r="S92" i="7"/>
  <c r="O87" i="7"/>
  <c r="K87" i="7"/>
  <c r="M87" i="7" s="1"/>
  <c r="N87" i="7" s="1"/>
  <c r="O86" i="7"/>
  <c r="K86" i="7"/>
  <c r="O85" i="7"/>
  <c r="K85" i="7"/>
  <c r="O91" i="7"/>
  <c r="K91" i="7"/>
  <c r="J44" i="7"/>
  <c r="O44" i="7" s="1"/>
  <c r="O83" i="7"/>
  <c r="K83" i="7"/>
  <c r="W96" i="7"/>
  <c r="M96" i="7"/>
  <c r="N96" i="7" s="1"/>
  <c r="I78" i="7"/>
  <c r="I52" i="7" s="1"/>
  <c r="J55" i="7"/>
  <c r="S87" i="7"/>
  <c r="H64" i="7"/>
  <c r="W88" i="7"/>
  <c r="W54" i="7"/>
  <c r="M84" i="7"/>
  <c r="N84" i="7" s="1"/>
  <c r="W84" i="7"/>
  <c r="O29" i="7"/>
  <c r="K29" i="7"/>
  <c r="J8" i="7"/>
  <c r="O8" i="7" s="1"/>
  <c r="O14" i="7"/>
  <c r="K14" i="7"/>
  <c r="H61" i="7"/>
  <c r="I61" i="7" s="1"/>
  <c r="W73" i="7"/>
  <c r="W82" i="7"/>
  <c r="W85" i="7"/>
  <c r="W86" i="7"/>
  <c r="M86" i="7"/>
  <c r="N86" i="7" s="1"/>
  <c r="M156" i="7"/>
  <c r="J98" i="7"/>
  <c r="O82" i="7"/>
  <c r="K82" i="7"/>
  <c r="O90" i="7"/>
  <c r="K90" i="7"/>
  <c r="K43" i="7" s="1"/>
  <c r="M43" i="7" s="1"/>
  <c r="N43" i="7" s="1"/>
  <c r="J43" i="7"/>
  <c r="O43" i="7" s="1"/>
  <c r="H76" i="7"/>
  <c r="H75" i="7"/>
  <c r="H74" i="7"/>
  <c r="I74" i="7" s="1"/>
  <c r="J74" i="7" s="1"/>
  <c r="M97" i="7"/>
  <c r="N97" i="7" s="1"/>
  <c r="O88" i="7"/>
  <c r="K88" i="7"/>
  <c r="K41" i="7" s="1"/>
  <c r="M41" i="7" s="1"/>
  <c r="N41" i="7" s="1"/>
  <c r="S86" i="7"/>
  <c r="S81" i="7"/>
  <c r="I65" i="7"/>
  <c r="J65" i="7" s="1"/>
  <c r="W58" i="7"/>
  <c r="W61" i="7"/>
  <c r="H67" i="7"/>
  <c r="H56" i="7"/>
  <c r="K9" i="7"/>
  <c r="O9" i="7"/>
  <c r="W92" i="7"/>
  <c r="W56" i="7"/>
  <c r="M155" i="7"/>
  <c r="W87" i="7"/>
  <c r="M192" i="7"/>
  <c r="M81" i="7" l="1"/>
  <c r="N81" i="7" s="1"/>
  <c r="O69" i="7"/>
  <c r="H68" i="7"/>
  <c r="H40" i="7" s="1"/>
  <c r="AC98" i="7"/>
  <c r="O98" i="7"/>
  <c r="J41" i="7"/>
  <c r="O41" i="7" s="1"/>
  <c r="M85" i="7"/>
  <c r="N85" i="7" s="1"/>
  <c r="O30" i="7"/>
  <c r="K7" i="7"/>
  <c r="M7" i="7" s="1"/>
  <c r="N7" i="7" s="1"/>
  <c r="M28" i="7"/>
  <c r="N28" i="7" s="1"/>
  <c r="O74" i="7"/>
  <c r="K74" i="7"/>
  <c r="M74" i="7" s="1"/>
  <c r="N74" i="7" s="1"/>
  <c r="M82" i="7"/>
  <c r="N82" i="7" s="1"/>
  <c r="I64" i="7"/>
  <c r="H34" i="7"/>
  <c r="U109" i="7"/>
  <c r="W99" i="7"/>
  <c r="I56" i="7"/>
  <c r="H35" i="7"/>
  <c r="H101" i="7"/>
  <c r="H108" i="7" s="1"/>
  <c r="I75" i="7"/>
  <c r="H47" i="7"/>
  <c r="U61" i="7"/>
  <c r="P61" i="7"/>
  <c r="R61" i="7"/>
  <c r="J61" i="7"/>
  <c r="V61" i="7"/>
  <c r="Q61" i="7"/>
  <c r="M88" i="7"/>
  <c r="N88" i="7" s="1"/>
  <c r="M94" i="7"/>
  <c r="N94" i="7" s="1"/>
  <c r="M90" i="7"/>
  <c r="N90" i="7" s="1"/>
  <c r="N80" i="7"/>
  <c r="K42" i="7"/>
  <c r="M42" i="7" s="1"/>
  <c r="N42" i="7" s="1"/>
  <c r="M89" i="7"/>
  <c r="N89" i="7" s="1"/>
  <c r="I67" i="7"/>
  <c r="H39" i="7"/>
  <c r="O65" i="7"/>
  <c r="K65" i="7"/>
  <c r="M65" i="7" s="1"/>
  <c r="N65" i="7" s="1"/>
  <c r="I76" i="7"/>
  <c r="H48" i="7"/>
  <c r="K8" i="7"/>
  <c r="M8" i="7" s="1"/>
  <c r="N8" i="7" s="1"/>
  <c r="M29" i="7"/>
  <c r="N29" i="7" s="1"/>
  <c r="AV13" i="7"/>
  <c r="J11" i="7"/>
  <c r="K5" i="7"/>
  <c r="O5" i="7"/>
  <c r="O11" i="7" s="1"/>
  <c r="I70" i="7"/>
  <c r="H45" i="7"/>
  <c r="O60" i="7"/>
  <c r="K60" i="7"/>
  <c r="K73" i="7"/>
  <c r="M73" i="7" s="1"/>
  <c r="N73" i="7" s="1"/>
  <c r="O73" i="7"/>
  <c r="M9" i="7"/>
  <c r="N9" i="7" s="1"/>
  <c r="K98" i="7"/>
  <c r="M14" i="7"/>
  <c r="J78" i="7"/>
  <c r="J52" i="7" s="1"/>
  <c r="O55" i="7"/>
  <c r="K55" i="7"/>
  <c r="K44" i="7"/>
  <c r="M44" i="7" s="1"/>
  <c r="N44" i="7" s="1"/>
  <c r="M91" i="7"/>
  <c r="N91" i="7" s="1"/>
  <c r="K38" i="7"/>
  <c r="M38" i="7" s="1"/>
  <c r="N38" i="7" s="1"/>
  <c r="K30" i="7"/>
  <c r="K6" i="7"/>
  <c r="M6" i="7" s="1"/>
  <c r="N6" i="7" s="1"/>
  <c r="M27" i="7"/>
  <c r="M95" i="7"/>
  <c r="N95" i="7" s="1"/>
  <c r="I71" i="7"/>
  <c r="H46" i="7"/>
  <c r="M83" i="7"/>
  <c r="N83" i="7" s="1"/>
  <c r="I68" i="7" l="1"/>
  <c r="H100" i="7"/>
  <c r="M98" i="7"/>
  <c r="M102" i="7" s="1"/>
  <c r="R64" i="7"/>
  <c r="J64" i="7"/>
  <c r="V64" i="7"/>
  <c r="Q64" i="7"/>
  <c r="U64" i="7"/>
  <c r="P64" i="7"/>
  <c r="J71" i="7"/>
  <c r="I46" i="7"/>
  <c r="H54" i="7"/>
  <c r="K78" i="7"/>
  <c r="K52" i="7" s="1"/>
  <c r="M55" i="7"/>
  <c r="N55" i="7" s="1"/>
  <c r="N14" i="7"/>
  <c r="J68" i="7"/>
  <c r="I40" i="7"/>
  <c r="H59" i="7"/>
  <c r="H58" i="7"/>
  <c r="M60" i="7"/>
  <c r="N60" i="7" s="1"/>
  <c r="J70" i="7"/>
  <c r="I45" i="7"/>
  <c r="K11" i="7"/>
  <c r="M5" i="7"/>
  <c r="AC11" i="7"/>
  <c r="H138" i="7"/>
  <c r="K138" i="7" s="1"/>
  <c r="H10" i="7"/>
  <c r="J76" i="7"/>
  <c r="I48" i="7"/>
  <c r="J75" i="7"/>
  <c r="I47" i="7"/>
  <c r="V56" i="7"/>
  <c r="Q56" i="7"/>
  <c r="U56" i="7"/>
  <c r="P56" i="7"/>
  <c r="R56" i="7"/>
  <c r="J56" i="7"/>
  <c r="I35" i="7"/>
  <c r="N27" i="7"/>
  <c r="N30" i="7" s="1"/>
  <c r="M30" i="7"/>
  <c r="AZ13" i="7"/>
  <c r="BF13" i="7" s="1"/>
  <c r="BE13" i="7"/>
  <c r="AV31" i="7" s="1"/>
  <c r="AU31" i="7"/>
  <c r="J67" i="7"/>
  <c r="I39" i="7"/>
  <c r="O61" i="7"/>
  <c r="K61" i="7"/>
  <c r="M61" i="7" s="1"/>
  <c r="N61" i="7" s="1"/>
  <c r="H162" i="7" l="1"/>
  <c r="K162" i="7" s="1"/>
  <c r="H106" i="7"/>
  <c r="I15" i="7"/>
  <c r="J15" i="7" s="1"/>
  <c r="I10" i="7"/>
  <c r="J10" i="7" s="1"/>
  <c r="O10" i="7" s="1"/>
  <c r="O56" i="7"/>
  <c r="K56" i="7"/>
  <c r="J35" i="7"/>
  <c r="O35" i="7" s="1"/>
  <c r="O76" i="7"/>
  <c r="K76" i="7"/>
  <c r="J48" i="7"/>
  <c r="O48" i="7" s="1"/>
  <c r="O70" i="7"/>
  <c r="K70" i="7"/>
  <c r="J45" i="7"/>
  <c r="O45" i="7" s="1"/>
  <c r="I59" i="7"/>
  <c r="H38" i="7"/>
  <c r="H103" i="7"/>
  <c r="O67" i="7"/>
  <c r="K67" i="7"/>
  <c r="J39" i="7"/>
  <c r="O39" i="7" s="1"/>
  <c r="AV18" i="7"/>
  <c r="N5" i="7"/>
  <c r="M11" i="7"/>
  <c r="O71" i="7"/>
  <c r="K71" i="7"/>
  <c r="J46" i="7"/>
  <c r="O46" i="7" s="1"/>
  <c r="O75" i="7"/>
  <c r="K75" i="7"/>
  <c r="J47" i="7"/>
  <c r="O47" i="7" s="1"/>
  <c r="AV12" i="7"/>
  <c r="O68" i="7"/>
  <c r="K68" i="7"/>
  <c r="J40" i="7"/>
  <c r="O40" i="7" s="1"/>
  <c r="O64" i="7"/>
  <c r="K64" i="7"/>
  <c r="M64" i="7" s="1"/>
  <c r="N64" i="7" s="1"/>
  <c r="H137" i="7"/>
  <c r="K137" i="7" s="1"/>
  <c r="K139" i="7"/>
  <c r="K123" i="7"/>
  <c r="M138" i="7"/>
  <c r="H102" i="7"/>
  <c r="I58" i="7"/>
  <c r="H36" i="7"/>
  <c r="H99" i="7"/>
  <c r="I54" i="7"/>
  <c r="H33" i="7"/>
  <c r="I26" i="7" l="1"/>
  <c r="I2" i="7" s="1"/>
  <c r="K164" i="7"/>
  <c r="M162" i="7"/>
  <c r="M164" i="7" s="1"/>
  <c r="AC169" i="7"/>
  <c r="R58" i="7"/>
  <c r="J58" i="7"/>
  <c r="V58" i="7"/>
  <c r="Q58" i="7"/>
  <c r="U58" i="7"/>
  <c r="P58" i="7"/>
  <c r="I36" i="7"/>
  <c r="N11" i="7"/>
  <c r="M67" i="7"/>
  <c r="N67" i="7" s="1"/>
  <c r="K39" i="7"/>
  <c r="M39" i="7" s="1"/>
  <c r="N39" i="7" s="1"/>
  <c r="J59" i="7"/>
  <c r="I37" i="7"/>
  <c r="AC124" i="7"/>
  <c r="K124" i="7"/>
  <c r="M123" i="7"/>
  <c r="M124" i="7" s="1"/>
  <c r="J54" i="7"/>
  <c r="I33" i="7"/>
  <c r="AC139" i="7"/>
  <c r="M137" i="7"/>
  <c r="M139" i="7" s="1"/>
  <c r="M68" i="7"/>
  <c r="N68" i="7" s="1"/>
  <c r="K40" i="7"/>
  <c r="M40" i="7" s="1"/>
  <c r="N40" i="7" s="1"/>
  <c r="AZ12" i="7"/>
  <c r="BF12" i="7" s="1"/>
  <c r="AU30" i="7"/>
  <c r="AV14" i="7"/>
  <c r="BE12" i="7"/>
  <c r="M71" i="7"/>
  <c r="N71" i="7" s="1"/>
  <c r="K46" i="7"/>
  <c r="M46" i="7" s="1"/>
  <c r="N46" i="7" s="1"/>
  <c r="BE18" i="7"/>
  <c r="AV36" i="7" s="1"/>
  <c r="AZ18" i="7"/>
  <c r="BF18" i="7" s="1"/>
  <c r="AU36" i="7"/>
  <c r="M70" i="7"/>
  <c r="N70" i="7" s="1"/>
  <c r="K45" i="7"/>
  <c r="M45" i="7" s="1"/>
  <c r="N45" i="7" s="1"/>
  <c r="M56" i="7"/>
  <c r="N56" i="7" s="1"/>
  <c r="K35" i="7"/>
  <c r="M75" i="7"/>
  <c r="N75" i="7" s="1"/>
  <c r="K47" i="7"/>
  <c r="M47" i="7" s="1"/>
  <c r="N47" i="7" s="1"/>
  <c r="M76" i="7"/>
  <c r="N76" i="7" s="1"/>
  <c r="K48" i="7"/>
  <c r="M48" i="7" s="1"/>
  <c r="N48" i="7" s="1"/>
  <c r="O15" i="7" l="1"/>
  <c r="O26" i="7" s="1"/>
  <c r="J26" i="7"/>
  <c r="K15" i="7"/>
  <c r="I51" i="7"/>
  <c r="O59" i="7"/>
  <c r="K59" i="7"/>
  <c r="J37" i="7"/>
  <c r="O37" i="7" s="1"/>
  <c r="M147" i="7"/>
  <c r="L147" i="7"/>
  <c r="L182" i="7"/>
  <c r="K182" i="7"/>
  <c r="K10" i="7"/>
  <c r="M10" i="7" s="1"/>
  <c r="N10" i="7" s="1"/>
  <c r="M35" i="7"/>
  <c r="N35" i="7" s="1"/>
  <c r="E187" i="7"/>
  <c r="AV30" i="7"/>
  <c r="O54" i="7"/>
  <c r="K54" i="7"/>
  <c r="J33" i="7"/>
  <c r="O33" i="7" s="1"/>
  <c r="O58" i="7"/>
  <c r="K58" i="7"/>
  <c r="J36" i="7"/>
  <c r="O36" i="7" s="1"/>
  <c r="BE14" i="7"/>
  <c r="AV32" i="7" s="1"/>
  <c r="AZ14" i="7"/>
  <c r="BF14" i="7" s="1"/>
  <c r="AU32" i="7"/>
  <c r="M113" i="7" l="1"/>
  <c r="M15" i="7"/>
  <c r="F183" i="7"/>
  <c r="L180" i="7"/>
  <c r="AC30" i="7"/>
  <c r="F111" i="7"/>
  <c r="K26" i="7"/>
  <c r="O78" i="7"/>
  <c r="AI16" i="7" s="1"/>
  <c r="AI35" i="7" s="1"/>
  <c r="M58" i="7"/>
  <c r="N58" i="7" s="1"/>
  <c r="K36" i="7"/>
  <c r="M36" i="7" s="1"/>
  <c r="N36" i="7" s="1"/>
  <c r="O51" i="7"/>
  <c r="K33" i="7"/>
  <c r="AC74" i="7"/>
  <c r="M54" i="7"/>
  <c r="K37" i="7"/>
  <c r="M37" i="7" s="1"/>
  <c r="N37" i="7" s="1"/>
  <c r="M59" i="7"/>
  <c r="N59" i="7" s="1"/>
  <c r="AU140" i="7"/>
  <c r="L113" i="7" l="1"/>
  <c r="K2" i="7"/>
  <c r="K180" i="7"/>
  <c r="N126" i="7"/>
  <c r="N127" i="7" s="1"/>
  <c r="AV15" i="7"/>
  <c r="M70" i="4"/>
  <c r="M71" i="4" s="1"/>
  <c r="E186" i="7"/>
  <c r="N15" i="7"/>
  <c r="N26" i="7" s="1"/>
  <c r="M26" i="7"/>
  <c r="AI17" i="7"/>
  <c r="AI36" i="7" s="1"/>
  <c r="AU152" i="7"/>
  <c r="AX152" i="7" s="1"/>
  <c r="AX140" i="7"/>
  <c r="AU147" i="7"/>
  <c r="AX147" i="7" s="1"/>
  <c r="AU143" i="7"/>
  <c r="AX143" i="7" s="1"/>
  <c r="AS158" i="7" s="1"/>
  <c r="AU142" i="7"/>
  <c r="M78" i="7"/>
  <c r="N78" i="7" s="1"/>
  <c r="N54" i="7"/>
  <c r="R84" i="7"/>
  <c r="R80" i="7"/>
  <c r="AK35" i="7"/>
  <c r="AC2" i="7"/>
  <c r="AC1" i="7" s="1"/>
  <c r="AV116" i="7"/>
  <c r="D17" i="1"/>
  <c r="K51" i="7"/>
  <c r="M33" i="7"/>
  <c r="AI2" i="7"/>
  <c r="AI14" i="7"/>
  <c r="AI33" i="7" s="1"/>
  <c r="AI15" i="7"/>
  <c r="AI34" i="7" s="1"/>
  <c r="AK34" i="7" s="1"/>
  <c r="D187" i="7" l="1"/>
  <c r="E188" i="7"/>
  <c r="E189" i="7" s="1"/>
  <c r="F189" i="7" s="1"/>
  <c r="D186" i="7"/>
  <c r="AV6" i="7"/>
  <c r="AV10" i="7"/>
  <c r="AV9" i="7"/>
  <c r="AV8" i="7"/>
  <c r="AV7" i="7"/>
  <c r="AV5" i="7"/>
  <c r="AU33" i="7"/>
  <c r="AX30" i="7" s="1"/>
  <c r="AV17" i="7"/>
  <c r="AV20" i="7"/>
  <c r="AZ15" i="7"/>
  <c r="BF15" i="7" s="1"/>
  <c r="BE15" i="7"/>
  <c r="AV33" i="7" s="1"/>
  <c r="AK36" i="7"/>
  <c r="AN36" i="7" s="1"/>
  <c r="R70" i="7"/>
  <c r="R54" i="7"/>
  <c r="R67" i="7"/>
  <c r="AU148" i="7"/>
  <c r="AX148" i="7" s="1"/>
  <c r="AI37" i="7"/>
  <c r="AN34" i="7"/>
  <c r="AL34" i="7"/>
  <c r="AM34" i="7" s="1"/>
  <c r="AK33" i="7"/>
  <c r="M51" i="7"/>
  <c r="M2" i="7" s="1"/>
  <c r="O2" i="7" s="1"/>
  <c r="N33" i="7"/>
  <c r="AU154" i="7"/>
  <c r="AX154" i="7" s="1"/>
  <c r="AS157" i="7" s="1"/>
  <c r="AI4" i="7"/>
  <c r="AI3" i="7"/>
  <c r="Q67" i="7"/>
  <c r="P67" i="7"/>
  <c r="Q54" i="7"/>
  <c r="P54" i="7"/>
  <c r="AL35" i="7"/>
  <c r="AM35" i="7" s="1"/>
  <c r="AN35" i="7"/>
  <c r="P84" i="7"/>
  <c r="S84" i="7" s="1"/>
  <c r="P80" i="7"/>
  <c r="S80" i="7" s="1"/>
  <c r="Q80" i="7"/>
  <c r="Q84" i="7"/>
  <c r="AL36" i="7" l="1"/>
  <c r="AM36" i="7" s="1"/>
  <c r="AU25" i="7"/>
  <c r="AZ7" i="7"/>
  <c r="BF7" i="7" s="1"/>
  <c r="BE7" i="7"/>
  <c r="AV25" i="7" s="1"/>
  <c r="AV69" i="7"/>
  <c r="AV95" i="7" s="1"/>
  <c r="AZ6" i="7"/>
  <c r="BF6" i="7" s="1"/>
  <c r="AU24" i="7"/>
  <c r="BE6" i="7"/>
  <c r="AV24" i="7" s="1"/>
  <c r="AU59" i="7"/>
  <c r="AU64" i="7" s="1"/>
  <c r="BE17" i="7"/>
  <c r="AZ17" i="7"/>
  <c r="BF17" i="7" s="1"/>
  <c r="AU35" i="7"/>
  <c r="AU26" i="7"/>
  <c r="BE8" i="7"/>
  <c r="AV26" i="7" s="1"/>
  <c r="AV70" i="7"/>
  <c r="AV96" i="7" s="1"/>
  <c r="AZ8" i="7"/>
  <c r="BF8" i="7" s="1"/>
  <c r="AZ9" i="7"/>
  <c r="BF9" i="7" s="1"/>
  <c r="AU27" i="7"/>
  <c r="BE9" i="7"/>
  <c r="AV27" i="7" s="1"/>
  <c r="AV71" i="7"/>
  <c r="AV97" i="7" s="1"/>
  <c r="AZ5" i="7"/>
  <c r="BF5" i="7" s="1"/>
  <c r="AU23" i="7"/>
  <c r="AV11" i="7"/>
  <c r="BE5" i="7"/>
  <c r="BE10" i="7"/>
  <c r="AV28" i="7" s="1"/>
  <c r="AZ10" i="7"/>
  <c r="BF10" i="7" s="1"/>
  <c r="AV72" i="7"/>
  <c r="AV98" i="7" s="1"/>
  <c r="AU28" i="7"/>
  <c r="Q70" i="7"/>
  <c r="P70" i="7"/>
  <c r="S100" i="7"/>
  <c r="AI5" i="7"/>
  <c r="AI8" i="7"/>
  <c r="AK37" i="7"/>
  <c r="AK52" i="7" s="1"/>
  <c r="AN33" i="7"/>
  <c r="AN37" i="7" s="1"/>
  <c r="AL33" i="7"/>
  <c r="P5" i="7"/>
  <c r="AI10" i="7"/>
  <c r="AI11" i="7" s="1"/>
  <c r="AI7" i="7"/>
  <c r="BF11" i="7" l="1"/>
  <c r="AV118" i="7"/>
  <c r="AW95" i="7"/>
  <c r="AX95" i="7"/>
  <c r="AV23" i="7"/>
  <c r="BE11" i="7"/>
  <c r="AV56" i="7" s="1"/>
  <c r="AV61" i="7" s="1"/>
  <c r="AV120" i="7"/>
  <c r="AW97" i="7"/>
  <c r="AW98" i="7"/>
  <c r="AV121" i="7"/>
  <c r="AV75" i="7"/>
  <c r="AV101" i="7" s="1"/>
  <c r="AV123" i="7" s="1"/>
  <c r="AU29" i="7"/>
  <c r="AU132" i="7" s="1"/>
  <c r="AZ11" i="7"/>
  <c r="AU56" i="7"/>
  <c r="AU61" i="7" s="1"/>
  <c r="AV119" i="7"/>
  <c r="AW96" i="7"/>
  <c r="AX25" i="7"/>
  <c r="AV59" i="7"/>
  <c r="AV64" i="7" s="1"/>
  <c r="AV35" i="7"/>
  <c r="AI23" i="7"/>
  <c r="AI24" i="7"/>
  <c r="AI22" i="7"/>
  <c r="AI25" i="7"/>
  <c r="AB97" i="7"/>
  <c r="AB96" i="7"/>
  <c r="AA96" i="7"/>
  <c r="AB95" i="7"/>
  <c r="AB94" i="7"/>
  <c r="AA83" i="7"/>
  <c r="AB82" i="7"/>
  <c r="AB90" i="7"/>
  <c r="AB89" i="7"/>
  <c r="AA84" i="7"/>
  <c r="AB83" i="7"/>
  <c r="AA80" i="7"/>
  <c r="AB61" i="7"/>
  <c r="AB70" i="7"/>
  <c r="AA61" i="7"/>
  <c r="AB56" i="7"/>
  <c r="AB54" i="7"/>
  <c r="AB29" i="7"/>
  <c r="AA28" i="7"/>
  <c r="AB27" i="7"/>
  <c r="AB25" i="7"/>
  <c r="AA24" i="7"/>
  <c r="AA22" i="7"/>
  <c r="AA20" i="7"/>
  <c r="AA19" i="7"/>
  <c r="AA18" i="7"/>
  <c r="AA15" i="7"/>
  <c r="AB14" i="7"/>
  <c r="AB10" i="7"/>
  <c r="AB28" i="7"/>
  <c r="AB24" i="7"/>
  <c r="AD6" i="7"/>
  <c r="D18" i="1"/>
  <c r="AA23" i="7"/>
  <c r="AA16" i="7"/>
  <c r="AB9" i="7"/>
  <c r="AD5" i="7"/>
  <c r="AA21" i="7"/>
  <c r="AB19" i="7"/>
  <c r="AB18" i="7"/>
  <c r="AA17" i="7"/>
  <c r="AA5" i="7"/>
  <c r="AB22" i="7"/>
  <c r="AB20" i="7"/>
  <c r="AB15" i="7"/>
  <c r="AA6" i="7"/>
  <c r="AD21" i="7"/>
  <c r="AD9" i="7"/>
  <c r="AA29" i="7"/>
  <c r="AD10" i="7"/>
  <c r="AA25" i="7"/>
  <c r="AA14" i="7"/>
  <c r="AB23" i="7"/>
  <c r="AB58" i="7"/>
  <c r="AD61" i="7"/>
  <c r="AA54" i="7"/>
  <c r="AA89" i="7"/>
  <c r="AE89" i="7" s="1"/>
  <c r="AF89" i="7" s="1"/>
  <c r="AD64" i="7"/>
  <c r="AD89" i="7"/>
  <c r="AB87" i="7"/>
  <c r="AA91" i="7"/>
  <c r="AB84" i="7"/>
  <c r="AA85" i="7"/>
  <c r="AA86" i="7"/>
  <c r="AA87" i="7"/>
  <c r="AB91" i="7"/>
  <c r="AD96" i="7"/>
  <c r="AD92" i="7"/>
  <c r="AA93" i="7"/>
  <c r="AD17" i="7"/>
  <c r="AD19" i="7"/>
  <c r="AA10" i="7"/>
  <c r="AA27" i="7"/>
  <c r="AD20" i="7"/>
  <c r="AD25" i="7"/>
  <c r="AB16" i="7"/>
  <c r="AD70" i="7"/>
  <c r="AA58" i="7"/>
  <c r="AE58" i="7" s="1"/>
  <c r="AF58" i="7" s="1"/>
  <c r="AB67" i="7"/>
  <c r="AD67" i="7"/>
  <c r="AA82" i="7"/>
  <c r="AD90" i="7"/>
  <c r="AA67" i="7"/>
  <c r="AD82" i="7"/>
  <c r="AD80" i="7"/>
  <c r="AB88" i="7"/>
  <c r="AD87" i="7"/>
  <c r="AB92" i="7"/>
  <c r="AD88" i="7"/>
  <c r="AD95" i="7"/>
  <c r="AA92" i="7"/>
  <c r="AD97" i="7"/>
  <c r="AD93" i="7"/>
  <c r="AA94" i="7"/>
  <c r="AA9" i="7"/>
  <c r="AD18" i="7"/>
  <c r="AB6" i="7"/>
  <c r="AD28" i="7"/>
  <c r="AD22" i="7"/>
  <c r="AB17" i="7"/>
  <c r="AB64" i="7"/>
  <c r="AA56" i="7"/>
  <c r="AD56" i="7"/>
  <c r="AA64" i="7"/>
  <c r="AD83" i="7"/>
  <c r="AD84" i="7"/>
  <c r="AD73" i="7"/>
  <c r="AB81" i="7"/>
  <c r="AB85" i="7"/>
  <c r="AD86" i="7"/>
  <c r="AB93" i="7"/>
  <c r="AB80" i="7"/>
  <c r="AA81" i="7"/>
  <c r="AA97" i="7"/>
  <c r="AD94" i="7"/>
  <c r="AA95" i="7"/>
  <c r="AE95" i="7" s="1"/>
  <c r="AF95" i="7" s="1"/>
  <c r="AB5" i="7"/>
  <c r="AD14" i="7"/>
  <c r="AD16" i="7"/>
  <c r="AD23" i="7"/>
  <c r="AD24" i="7"/>
  <c r="AD29" i="7"/>
  <c r="AD15" i="7"/>
  <c r="AD27" i="7"/>
  <c r="AB21" i="7"/>
  <c r="AD54" i="7"/>
  <c r="AA70" i="7"/>
  <c r="AA73" i="7"/>
  <c r="AD58" i="7"/>
  <c r="AB73" i="7"/>
  <c r="AA88" i="7"/>
  <c r="AB86" i="7"/>
  <c r="AA90" i="7"/>
  <c r="AD81" i="7"/>
  <c r="AD85" i="7"/>
  <c r="AD91" i="7"/>
  <c r="AM33" i="7"/>
  <c r="AM37" i="7" s="1"/>
  <c r="AL37" i="7"/>
  <c r="AV37" i="7" l="1"/>
  <c r="AU38" i="7"/>
  <c r="AU65" i="7"/>
  <c r="AU133" i="7"/>
  <c r="AV124" i="7"/>
  <c r="AV125" i="7" s="1"/>
  <c r="AV127" i="7"/>
  <c r="AU131" i="7"/>
  <c r="D26" i="1" s="1"/>
  <c r="AE82" i="7"/>
  <c r="AF82" i="7" s="1"/>
  <c r="AE56" i="7"/>
  <c r="AF56" i="7" s="1"/>
  <c r="AE90" i="7"/>
  <c r="AF90" i="7" s="1"/>
  <c r="AB11" i="7"/>
  <c r="AE81" i="7"/>
  <c r="AF81" i="7" s="1"/>
  <c r="AE27" i="7"/>
  <c r="AF27" i="7" s="1"/>
  <c r="AE9" i="7"/>
  <c r="AF9" i="7" s="1"/>
  <c r="AE25" i="7"/>
  <c r="AF25" i="7" s="1"/>
  <c r="AE67" i="7"/>
  <c r="AF67" i="7" s="1"/>
  <c r="AE97" i="7"/>
  <c r="AF97" i="7" s="1"/>
  <c r="AE94" i="7"/>
  <c r="AF94" i="7" s="1"/>
  <c r="AE10" i="7"/>
  <c r="AE92" i="7"/>
  <c r="AF92" i="7" s="1"/>
  <c r="AD74" i="7"/>
  <c r="AE61" i="7"/>
  <c r="AF61" i="7" s="1"/>
  <c r="AE87" i="7"/>
  <c r="AF87" i="7" s="1"/>
  <c r="AE29" i="7"/>
  <c r="AF29" i="7" s="1"/>
  <c r="AE88" i="7"/>
  <c r="AF88" i="7" s="1"/>
  <c r="AE70" i="7"/>
  <c r="AF70" i="7" s="1"/>
  <c r="AE15" i="7"/>
  <c r="AE96" i="7"/>
  <c r="AF96" i="7" s="1"/>
  <c r="AD30" i="7"/>
  <c r="AE6" i="7"/>
  <c r="AF6" i="7" s="1"/>
  <c r="AA11" i="7"/>
  <c r="AE5" i="7"/>
  <c r="AE21" i="7"/>
  <c r="AF21" i="7" s="1"/>
  <c r="AE23" i="7"/>
  <c r="AF23" i="7" s="1"/>
  <c r="AE18" i="7"/>
  <c r="AF18" i="7" s="1"/>
  <c r="AE24" i="7"/>
  <c r="AF24" i="7" s="1"/>
  <c r="AE84" i="7"/>
  <c r="AF84" i="7" s="1"/>
  <c r="AE83" i="7"/>
  <c r="AF83" i="7" s="1"/>
  <c r="AI26" i="7"/>
  <c r="AK22" i="7"/>
  <c r="AI44" i="7"/>
  <c r="AD98" i="7"/>
  <c r="AE93" i="7"/>
  <c r="AF93" i="7" s="1"/>
  <c r="AE91" i="7"/>
  <c r="AF91" i="7" s="1"/>
  <c r="AE17" i="7"/>
  <c r="AF17" i="7" s="1"/>
  <c r="AD13" i="7"/>
  <c r="AD11" i="7"/>
  <c r="AE19" i="7"/>
  <c r="AF19" i="7" s="1"/>
  <c r="AB74" i="7"/>
  <c r="AI46" i="7"/>
  <c r="AK24" i="7"/>
  <c r="AE73" i="7"/>
  <c r="AF73" i="7" s="1"/>
  <c r="AB98" i="7"/>
  <c r="AE64" i="7"/>
  <c r="AF64" i="7" s="1"/>
  <c r="AE86" i="7"/>
  <c r="AF86" i="7" s="1"/>
  <c r="AE54" i="7"/>
  <c r="AE74" i="7" s="1"/>
  <c r="AA74" i="7"/>
  <c r="AA30" i="7"/>
  <c r="AE14" i="7"/>
  <c r="AB30" i="7"/>
  <c r="AE20" i="7"/>
  <c r="AF20" i="7" s="1"/>
  <c r="AA98" i="7"/>
  <c r="AE80" i="7"/>
  <c r="AK23" i="7"/>
  <c r="AI45" i="7"/>
  <c r="AE85" i="7"/>
  <c r="AF85" i="7" s="1"/>
  <c r="AE16" i="7"/>
  <c r="AF16" i="7" s="1"/>
  <c r="AE22" i="7"/>
  <c r="AF22" i="7" s="1"/>
  <c r="AE28" i="7"/>
  <c r="AF28" i="7" s="1"/>
  <c r="AI47" i="7"/>
  <c r="AK25" i="7"/>
  <c r="AE98" i="7" l="1"/>
  <c r="AU40" i="7"/>
  <c r="BC38" i="7" s="1"/>
  <c r="AZ27" i="7"/>
  <c r="G22" i="1"/>
  <c r="G23" i="1" s="1"/>
  <c r="G25" i="1" s="1"/>
  <c r="O22" i="1"/>
  <c r="O23" i="1" s="1"/>
  <c r="O25" i="1" s="1"/>
  <c r="N22" i="1"/>
  <c r="N23" i="1" s="1"/>
  <c r="N25" i="1" s="1"/>
  <c r="K22" i="1"/>
  <c r="K23" i="1" s="1"/>
  <c r="K25" i="1" s="1"/>
  <c r="D22" i="1"/>
  <c r="I22" i="1"/>
  <c r="I23" i="1" s="1"/>
  <c r="I25" i="1" s="1"/>
  <c r="M22" i="1"/>
  <c r="M23" i="1" s="1"/>
  <c r="M25" i="1" s="1"/>
  <c r="J22" i="1"/>
  <c r="J23" i="1" s="1"/>
  <c r="J25" i="1" s="1"/>
  <c r="L22" i="1"/>
  <c r="L23" i="1" s="1"/>
  <c r="L25" i="1" s="1"/>
  <c r="H22" i="1"/>
  <c r="H23" i="1" s="1"/>
  <c r="H25" i="1" s="1"/>
  <c r="E22" i="1"/>
  <c r="E23" i="1" s="1"/>
  <c r="E25" i="1" s="1"/>
  <c r="F22" i="1"/>
  <c r="F23" i="1" s="1"/>
  <c r="F25" i="1" s="1"/>
  <c r="AF15" i="7"/>
  <c r="AE30" i="7"/>
  <c r="AE11" i="7"/>
  <c r="AB2" i="7"/>
  <c r="AB1" i="7" s="1"/>
  <c r="AA2" i="7"/>
  <c r="AA1" i="7" s="1"/>
  <c r="AD2" i="7"/>
  <c r="AD1" i="7" s="1"/>
  <c r="D13" i="1"/>
  <c r="AK46" i="7"/>
  <c r="AL24" i="7"/>
  <c r="AN24" i="7"/>
  <c r="AV115" i="7"/>
  <c r="AV129" i="7" s="1"/>
  <c r="D16" i="1"/>
  <c r="D21" i="1" s="1"/>
  <c r="AK26" i="7"/>
  <c r="AK31" i="7" s="1"/>
  <c r="AL22" i="7"/>
  <c r="AK44" i="7"/>
  <c r="AN22" i="7"/>
  <c r="AF5" i="7"/>
  <c r="AF11" i="7" s="1"/>
  <c r="AI41" i="7"/>
  <c r="AI40" i="7"/>
  <c r="E6" i="1"/>
  <c r="E5" i="1" s="1"/>
  <c r="O12" i="1"/>
  <c r="AI28" i="7"/>
  <c r="D14" i="1"/>
  <c r="AK45" i="7"/>
  <c r="AN23" i="7"/>
  <c r="AL23" i="7"/>
  <c r="AF54" i="7"/>
  <c r="AF74" i="7" s="1"/>
  <c r="AK47" i="7"/>
  <c r="AL25" i="7"/>
  <c r="AN25" i="7"/>
  <c r="AF80" i="7"/>
  <c r="AF98" i="7" s="1"/>
  <c r="AF14" i="7"/>
  <c r="AI49" i="7"/>
  <c r="AZ31" i="7" l="1"/>
  <c r="AZ32" i="7"/>
  <c r="AZ33" i="7"/>
  <c r="D23" i="1"/>
  <c r="AZ34" i="7"/>
  <c r="AZ36" i="7"/>
  <c r="AZ30" i="7"/>
  <c r="AZ26" i="7"/>
  <c r="AZ25" i="7"/>
  <c r="AZ24" i="7"/>
  <c r="AZ28" i="7"/>
  <c r="AU50" i="7"/>
  <c r="AZ39" i="7"/>
  <c r="AZ35" i="7"/>
  <c r="AZ23" i="7"/>
  <c r="AZ37" i="7"/>
  <c r="AU51" i="7"/>
  <c r="AZ38" i="7"/>
  <c r="BC35" i="7"/>
  <c r="BC42" i="7"/>
  <c r="BC46" i="7"/>
  <c r="BC24" i="7"/>
  <c r="BC36" i="7"/>
  <c r="BC26" i="7"/>
  <c r="BC48" i="7"/>
  <c r="BC40" i="7"/>
  <c r="BC39" i="7"/>
  <c r="BC33" i="7"/>
  <c r="BC25" i="7"/>
  <c r="BC47" i="7"/>
  <c r="AZ40" i="7"/>
  <c r="BC31" i="7"/>
  <c r="BC23" i="7"/>
  <c r="BC45" i="7"/>
  <c r="BC30" i="7"/>
  <c r="BC43" i="7"/>
  <c r="BC27" i="7"/>
  <c r="BC28" i="7"/>
  <c r="AZ29" i="7"/>
  <c r="AV73" i="7"/>
  <c r="AX73" i="7" s="1"/>
  <c r="AF30" i="7"/>
  <c r="AE2" i="7"/>
  <c r="AE1" i="7" s="1"/>
  <c r="AL47" i="7"/>
  <c r="AM25" i="7"/>
  <c r="AM47" i="7" s="1"/>
  <c r="AL45" i="7"/>
  <c r="AM23" i="7"/>
  <c r="AM45" i="7" s="1"/>
  <c r="T10" i="7"/>
  <c r="T9" i="7"/>
  <c r="T22" i="7"/>
  <c r="T19" i="7"/>
  <c r="T20" i="7"/>
  <c r="T28" i="7"/>
  <c r="T18" i="7"/>
  <c r="T97" i="7"/>
  <c r="T94" i="7"/>
  <c r="T21" i="7"/>
  <c r="T14" i="7"/>
  <c r="T24" i="7"/>
  <c r="T15" i="7"/>
  <c r="T6" i="7"/>
  <c r="T5" i="7"/>
  <c r="T16" i="7"/>
  <c r="T25" i="7"/>
  <c r="T23" i="7"/>
  <c r="T89" i="7"/>
  <c r="T91" i="7"/>
  <c r="T17" i="7"/>
  <c r="T27" i="7"/>
  <c r="T29" i="7"/>
  <c r="T73" i="7"/>
  <c r="T95" i="7"/>
  <c r="T87" i="7"/>
  <c r="T56" i="7"/>
  <c r="T82" i="7"/>
  <c r="T70" i="7"/>
  <c r="T83" i="7"/>
  <c r="T61" i="7"/>
  <c r="T93" i="7"/>
  <c r="T81" i="7"/>
  <c r="T92" i="7"/>
  <c r="T84" i="7"/>
  <c r="T88" i="7"/>
  <c r="T64" i="7"/>
  <c r="T58" i="7"/>
  <c r="T90" i="7"/>
  <c r="T80" i="7"/>
  <c r="T85" i="7"/>
  <c r="T67" i="7"/>
  <c r="T86" i="7"/>
  <c r="T96" i="7"/>
  <c r="T54" i="7"/>
  <c r="T99" i="7"/>
  <c r="AJ28" i="7"/>
  <c r="AK49" i="7"/>
  <c r="M12" i="1"/>
  <c r="M20" i="1" s="1"/>
  <c r="I12" i="1"/>
  <c r="I20" i="1" s="1"/>
  <c r="H12" i="1"/>
  <c r="H20" i="1" s="1"/>
  <c r="K12" i="1"/>
  <c r="K20" i="1" s="1"/>
  <c r="G12" i="1"/>
  <c r="G20" i="1" s="1"/>
  <c r="L12" i="1"/>
  <c r="L20" i="1" s="1"/>
  <c r="O20" i="1"/>
  <c r="N12" i="1"/>
  <c r="N20" i="1" s="1"/>
  <c r="J12" i="1"/>
  <c r="J20" i="1" s="1"/>
  <c r="F12" i="1"/>
  <c r="F20" i="1" s="1"/>
  <c r="AL44" i="7"/>
  <c r="AM22" i="7"/>
  <c r="AL26" i="7"/>
  <c r="L7" i="4"/>
  <c r="E4" i="1"/>
  <c r="F5" i="1"/>
  <c r="D15" i="1"/>
  <c r="AL46" i="7"/>
  <c r="AM24" i="7"/>
  <c r="AM46" i="7" s="1"/>
  <c r="AN26" i="7"/>
  <c r="BD51" i="7" l="1"/>
  <c r="BD40" i="7"/>
  <c r="BD38" i="7"/>
  <c r="BD41" i="7"/>
  <c r="AV99" i="7"/>
  <c r="AV128" i="7" s="1"/>
  <c r="BD36" i="7"/>
  <c r="BD26" i="7"/>
  <c r="BD50" i="7"/>
  <c r="BD47" i="7"/>
  <c r="BD23" i="7"/>
  <c r="BD39" i="7"/>
  <c r="BD28" i="7"/>
  <c r="BD44" i="7"/>
  <c r="BD48" i="7"/>
  <c r="BD34" i="7"/>
  <c r="BD29" i="7"/>
  <c r="BD27" i="7"/>
  <c r="BD45" i="7"/>
  <c r="BD31" i="7"/>
  <c r="BD32" i="7"/>
  <c r="BD24" i="7"/>
  <c r="BD37" i="7"/>
  <c r="BD43" i="7"/>
  <c r="BD33" i="7"/>
  <c r="BD25" i="7"/>
  <c r="BD35" i="7"/>
  <c r="BD46" i="7"/>
  <c r="BD42" i="7"/>
  <c r="BD30" i="7"/>
  <c r="U70" i="7"/>
  <c r="V70" i="7"/>
  <c r="AX99" i="7"/>
  <c r="AM44" i="7"/>
  <c r="AM49" i="7" s="1"/>
  <c r="AM26" i="7"/>
  <c r="AM52" i="7" s="1"/>
  <c r="N36" i="1"/>
  <c r="N33" i="1"/>
  <c r="N34" i="1"/>
  <c r="N29" i="1"/>
  <c r="N28" i="1"/>
  <c r="N30" i="1"/>
  <c r="N37" i="1" s="1"/>
  <c r="N31" i="1"/>
  <c r="K33" i="1"/>
  <c r="K36" i="1"/>
  <c r="K34" i="1"/>
  <c r="K29" i="1"/>
  <c r="K28" i="1"/>
  <c r="K31" i="1"/>
  <c r="K30" i="1"/>
  <c r="K37" i="1" s="1"/>
  <c r="U80" i="7"/>
  <c r="V80" i="7"/>
  <c r="AL49" i="7"/>
  <c r="O33" i="1"/>
  <c r="O34" i="1"/>
  <c r="O36" i="1"/>
  <c r="O29" i="1"/>
  <c r="O28" i="1"/>
  <c r="O31" i="1"/>
  <c r="O30" i="1"/>
  <c r="O37" i="1" s="1"/>
  <c r="O38" i="1" s="1"/>
  <c r="H34" i="1"/>
  <c r="H33" i="1"/>
  <c r="H36" i="1"/>
  <c r="H29" i="1"/>
  <c r="H28" i="1"/>
  <c r="H31" i="1"/>
  <c r="H30" i="1"/>
  <c r="H37" i="1" s="1"/>
  <c r="H38" i="1" s="1"/>
  <c r="V84" i="7"/>
  <c r="U84" i="7"/>
  <c r="U5" i="7"/>
  <c r="V5" i="7"/>
  <c r="L4" i="4"/>
  <c r="L6" i="4"/>
  <c r="L5" i="4"/>
  <c r="F36" i="1"/>
  <c r="F33" i="1"/>
  <c r="F34" i="1"/>
  <c r="F29" i="1"/>
  <c r="F28" i="1"/>
  <c r="F31" i="1"/>
  <c r="F30" i="1"/>
  <c r="F37" i="1" s="1"/>
  <c r="L34" i="1"/>
  <c r="L36" i="1"/>
  <c r="L33" i="1"/>
  <c r="L29" i="1"/>
  <c r="L28" i="1"/>
  <c r="L31" i="1"/>
  <c r="L30" i="1"/>
  <c r="L37" i="1" s="1"/>
  <c r="I34" i="1"/>
  <c r="I36" i="1"/>
  <c r="I33" i="1"/>
  <c r="I29" i="1"/>
  <c r="I28" i="1"/>
  <c r="I31" i="1"/>
  <c r="I30" i="1"/>
  <c r="I37" i="1" s="1"/>
  <c r="U100" i="7"/>
  <c r="T100" i="7"/>
  <c r="U99" i="7"/>
  <c r="V99" i="7"/>
  <c r="U102" i="7"/>
  <c r="V67" i="7"/>
  <c r="U67" i="7"/>
  <c r="V27" i="7"/>
  <c r="U27" i="7"/>
  <c r="V6" i="7"/>
  <c r="U6" i="7"/>
  <c r="J36" i="1"/>
  <c r="J33" i="1"/>
  <c r="J29" i="1"/>
  <c r="J34" i="1"/>
  <c r="J28" i="1"/>
  <c r="J31" i="1"/>
  <c r="J30" i="1"/>
  <c r="J37" i="1" s="1"/>
  <c r="G33" i="1"/>
  <c r="G34" i="1"/>
  <c r="G36" i="1"/>
  <c r="G29" i="1"/>
  <c r="G28" i="1"/>
  <c r="G30" i="1"/>
  <c r="G37" i="1" s="1"/>
  <c r="G31" i="1"/>
  <c r="M34" i="1"/>
  <c r="M36" i="1"/>
  <c r="M33" i="1"/>
  <c r="M29" i="1"/>
  <c r="M28" i="1"/>
  <c r="M30" i="1"/>
  <c r="M37" i="1" s="1"/>
  <c r="M31" i="1"/>
  <c r="V54" i="7"/>
  <c r="U54" i="7"/>
  <c r="V15" i="7"/>
  <c r="U15" i="7"/>
  <c r="V10" i="7"/>
  <c r="U10" i="7"/>
  <c r="K38" i="1" l="1"/>
  <c r="N38" i="1"/>
  <c r="J38" i="1"/>
  <c r="F38" i="1"/>
  <c r="L38" i="1"/>
  <c r="M38" i="1"/>
  <c r="G38" i="1"/>
  <c r="I38" i="1"/>
  <c r="L11" i="4"/>
  <c r="L16" i="4"/>
  <c r="L21" i="4" s="1"/>
  <c r="L17" i="4"/>
  <c r="L22" i="4" s="1"/>
  <c r="L12" i="4"/>
  <c r="G188" i="7"/>
  <c r="G152" i="7"/>
  <c r="L15" i="4"/>
  <c r="L20" i="4" s="1"/>
  <c r="L10" i="4"/>
  <c r="G118" i="7"/>
  <c r="G153" i="7" l="1"/>
  <c r="G150" i="7"/>
  <c r="H150" i="7" s="1"/>
  <c r="H153" i="7"/>
  <c r="G151" i="7"/>
  <c r="G149" i="7"/>
  <c r="H149" i="7" s="1"/>
  <c r="G119" i="7"/>
  <c r="G116" i="7"/>
  <c r="G115" i="7"/>
  <c r="H115" i="7" s="1"/>
  <c r="H119" i="7"/>
  <c r="K119" i="7" s="1"/>
  <c r="G117" i="7"/>
  <c r="H117" i="7" s="1"/>
  <c r="H188" i="7"/>
  <c r="G186" i="7"/>
  <c r="G189" i="7"/>
  <c r="G187" i="7"/>
  <c r="G185" i="7"/>
  <c r="K186" i="7" l="1"/>
  <c r="L186" i="7" s="1"/>
  <c r="K187" i="7"/>
  <c r="L187" i="7" s="1"/>
  <c r="H116" i="7"/>
  <c r="H151" i="7"/>
  <c r="K151" i="7" s="1"/>
  <c r="L151" i="7" l="1"/>
  <c r="M151" i="7" s="1"/>
  <c r="K172" i="7"/>
  <c r="K116" i="7"/>
  <c r="M187" i="7"/>
  <c r="K208" i="7"/>
  <c r="M186" i="7"/>
  <c r="K199" i="7"/>
  <c r="K198" i="7" s="1"/>
  <c r="K197" i="7" l="1"/>
  <c r="H198" i="7"/>
  <c r="M198" i="7"/>
  <c r="K209" i="7"/>
  <c r="H207" i="7"/>
  <c r="K207" i="7" s="1"/>
  <c r="K193" i="7"/>
  <c r="H208" i="7"/>
  <c r="M208" i="7"/>
  <c r="H172" i="7"/>
  <c r="H171" i="7"/>
  <c r="K171" i="7" s="1"/>
  <c r="H174" i="7"/>
  <c r="H175" i="7" s="1"/>
  <c r="K157" i="7"/>
  <c r="M172" i="7"/>
  <c r="H199" i="7"/>
  <c r="M199" i="7"/>
  <c r="L116" i="7"/>
  <c r="M116" i="7" s="1"/>
  <c r="K129" i="7"/>
  <c r="H129" i="7" l="1"/>
  <c r="M129" i="7"/>
  <c r="AC173" i="7"/>
  <c r="K173" i="7"/>
  <c r="M171" i="7"/>
  <c r="M173" i="7" s="1"/>
  <c r="AC194" i="7"/>
  <c r="M193" i="7"/>
  <c r="M194" i="7" s="1"/>
  <c r="K194" i="7"/>
  <c r="K128" i="7"/>
  <c r="AC209" i="7"/>
  <c r="M207" i="7"/>
  <c r="M209" i="7" s="1"/>
  <c r="K200" i="7"/>
  <c r="H197" i="7"/>
  <c r="M197" i="7"/>
  <c r="M200" i="7" s="1"/>
  <c r="AC205" i="7"/>
  <c r="AC158" i="7"/>
  <c r="M157" i="7"/>
  <c r="M158" i="7" s="1"/>
  <c r="K158" i="7"/>
  <c r="K175" i="7" l="1"/>
  <c r="K211" i="7"/>
  <c r="M211" i="7"/>
  <c r="AH205" i="7"/>
  <c r="N161" i="7"/>
  <c r="AH169" i="7"/>
  <c r="K127" i="7"/>
  <c r="H128" i="7"/>
  <c r="M128" i="7"/>
  <c r="AB203" i="7" l="1"/>
  <c r="AB202" i="7"/>
  <c r="AA203" i="7"/>
  <c r="AE203" i="7" s="1"/>
  <c r="AA202" i="7"/>
  <c r="AB193" i="7"/>
  <c r="AD203" i="7"/>
  <c r="AD199" i="7"/>
  <c r="AB197" i="7"/>
  <c r="AA198" i="7"/>
  <c r="AA208" i="7"/>
  <c r="AA197" i="7"/>
  <c r="AD193" i="7"/>
  <c r="AD208" i="7"/>
  <c r="AD209" i="7" s="1"/>
  <c r="AA193" i="7"/>
  <c r="AB191" i="7"/>
  <c r="AB199" i="7"/>
  <c r="AB198" i="7"/>
  <c r="AD197" i="7"/>
  <c r="AD192" i="7"/>
  <c r="AB192" i="7"/>
  <c r="AA199" i="7"/>
  <c r="AD202" i="7"/>
  <c r="AB208" i="7"/>
  <c r="AB209" i="7" s="1"/>
  <c r="AD191" i="7"/>
  <c r="AD198" i="7"/>
  <c r="AA191" i="7"/>
  <c r="AA192" i="7"/>
  <c r="K130" i="7"/>
  <c r="K141" i="7" s="1"/>
  <c r="H127" i="7"/>
  <c r="AC135" i="7"/>
  <c r="AC141" i="7" s="1"/>
  <c r="M127" i="7"/>
  <c r="M130" i="7" s="1"/>
  <c r="AA167" i="7"/>
  <c r="AB163" i="7"/>
  <c r="AB162" i="7"/>
  <c r="AB161" i="7"/>
  <c r="AB155" i="7"/>
  <c r="AB157" i="7"/>
  <c r="AB156" i="7"/>
  <c r="AD162" i="7"/>
  <c r="AB166" i="7"/>
  <c r="AD172" i="7"/>
  <c r="AD173" i="7" s="1"/>
  <c r="AA161" i="7"/>
  <c r="AD163" i="7"/>
  <c r="AA172" i="7"/>
  <c r="AD155" i="7"/>
  <c r="AA155" i="7"/>
  <c r="AA162" i="7"/>
  <c r="AD167" i="7"/>
  <c r="AA156" i="7"/>
  <c r="AA163" i="7"/>
  <c r="AA166" i="7"/>
  <c r="AD161" i="7"/>
  <c r="AD157" i="7"/>
  <c r="AB167" i="7"/>
  <c r="AD156" i="7"/>
  <c r="AA157" i="7"/>
  <c r="AB172" i="7"/>
  <c r="AB173" i="7" s="1"/>
  <c r="AD166" i="7"/>
  <c r="AE202" i="7" l="1"/>
  <c r="AE157" i="7"/>
  <c r="AD194" i="7"/>
  <c r="AE163" i="7"/>
  <c r="AE193" i="7"/>
  <c r="AE162" i="7"/>
  <c r="AE166" i="7"/>
  <c r="AE192" i="7"/>
  <c r="AE156" i="7"/>
  <c r="AD169" i="7"/>
  <c r="AE172" i="7"/>
  <c r="AE173" i="7" s="1"/>
  <c r="AA173" i="7"/>
  <c r="AB158" i="7"/>
  <c r="AE167" i="7"/>
  <c r="AB205" i="7"/>
  <c r="AB169" i="7"/>
  <c r="AI131" i="7"/>
  <c r="M142" i="7"/>
  <c r="AI130" i="7"/>
  <c r="AI132" i="7"/>
  <c r="M141" i="7"/>
  <c r="AH135" i="7"/>
  <c r="AB194" i="7"/>
  <c r="AA205" i="7"/>
  <c r="AE197" i="7"/>
  <c r="AA158" i="7"/>
  <c r="AE155" i="7"/>
  <c r="AA169" i="7"/>
  <c r="AE161" i="7"/>
  <c r="AE191" i="7"/>
  <c r="AA194" i="7"/>
  <c r="AD205" i="7"/>
  <c r="AE208" i="7"/>
  <c r="AE209" i="7" s="1"/>
  <c r="AA209" i="7"/>
  <c r="AD158" i="7"/>
  <c r="AE199" i="7"/>
  <c r="AE198" i="7"/>
  <c r="AE194" i="7" l="1"/>
  <c r="AE158" i="7"/>
  <c r="AE169" i="7"/>
  <c r="AE205" i="7"/>
  <c r="AB132" i="7"/>
  <c r="AB129" i="7"/>
  <c r="AB128" i="7"/>
  <c r="AA122" i="7"/>
  <c r="AA121" i="7"/>
  <c r="AD138" i="7"/>
  <c r="AD139" i="7" s="1"/>
  <c r="AA132" i="7"/>
  <c r="AB133" i="7"/>
  <c r="AD122" i="7"/>
  <c r="AB121" i="7"/>
  <c r="AA133" i="7"/>
  <c r="AD123" i="7"/>
  <c r="AB122" i="7"/>
  <c r="AD129" i="7"/>
  <c r="AB123" i="7"/>
  <c r="AB138" i="7"/>
  <c r="AB139" i="7" s="1"/>
  <c r="AD127" i="7"/>
  <c r="AA123" i="7"/>
  <c r="AD132" i="7"/>
  <c r="AB127" i="7"/>
  <c r="AA138" i="7"/>
  <c r="AD133" i="7"/>
  <c r="AA128" i="7"/>
  <c r="AE128" i="7" s="1"/>
  <c r="AD128" i="7"/>
  <c r="AD121" i="7"/>
  <c r="AA127" i="7"/>
  <c r="AA129" i="7"/>
  <c r="AE123" i="7" l="1"/>
  <c r="AD124" i="7"/>
  <c r="AB135" i="7"/>
  <c r="AE132" i="7"/>
  <c r="AE129" i="7"/>
  <c r="AE133" i="7"/>
  <c r="AA135" i="7"/>
  <c r="AE127" i="7"/>
  <c r="AB124" i="7"/>
  <c r="AE138" i="7"/>
  <c r="AE139" i="7" s="1"/>
  <c r="AA139" i="7"/>
  <c r="AD135" i="7"/>
  <c r="AE121" i="7"/>
  <c r="AA124" i="7"/>
  <c r="AE122" i="7"/>
  <c r="AD141" i="7" l="1"/>
  <c r="AE135" i="7"/>
  <c r="AE124" i="7"/>
  <c r="AE141" i="7" l="1"/>
</calcChain>
</file>

<file path=xl/comments1.xml><?xml version="1.0" encoding="utf-8"?>
<comments xmlns="http://schemas.openxmlformats.org/spreadsheetml/2006/main">
  <authors>
    <author>Author</author>
    <author>Michael Katsigiannis</author>
  </authors>
  <commentList>
    <comment ref="J3" authorId="0" shapeId="0">
      <text>
        <r>
          <rPr>
            <b/>
            <sz val="9"/>
            <color indexed="81"/>
            <rFont val="Tahoma"/>
            <family val="2"/>
            <charset val="161"/>
          </rPr>
          <t>Author:</t>
        </r>
        <r>
          <rPr>
            <sz val="9"/>
            <color indexed="81"/>
            <rFont val="Tahoma"/>
            <family val="2"/>
            <charset val="161"/>
          </rPr>
          <t xml:space="preserve">
note: based on data network capacity capabilities</t>
        </r>
      </text>
    </comment>
    <comment ref="F11" authorId="1" shapeId="0">
      <text>
        <r>
          <rPr>
            <b/>
            <sz val="9"/>
            <color indexed="81"/>
            <rFont val="Tahoma"/>
            <charset val="1"/>
          </rPr>
          <t>Michael Katsigiannis:</t>
        </r>
        <r>
          <rPr>
            <sz val="9"/>
            <color indexed="81"/>
            <rFont val="Tahoma"/>
            <charset val="1"/>
          </rPr>
          <t xml:space="preserve">
50% of traffic is carried by 15% of sites
</t>
        </r>
      </text>
    </comment>
  </commentList>
</comments>
</file>

<file path=xl/comments2.xml><?xml version="1.0" encoding="utf-8"?>
<comments xmlns="http://schemas.openxmlformats.org/spreadsheetml/2006/main">
  <authors>
    <author>Michael Katsigiannis</author>
    <author>mikekats</author>
  </authors>
  <commentList>
    <comment ref="P4" authorId="0" shapeId="0">
      <text>
        <r>
          <rPr>
            <b/>
            <sz val="9"/>
            <color indexed="81"/>
            <rFont val="Tahoma"/>
            <charset val="1"/>
          </rPr>
          <t>Michael Katsigiannis:</t>
        </r>
        <r>
          <rPr>
            <sz val="9"/>
            <color indexed="81"/>
            <rFont val="Tahoma"/>
            <charset val="1"/>
          </rPr>
          <t xml:space="preserve">
assumption&gt; the capacity of the ce;ll is the demanded traffic plus 10%</t>
        </r>
      </text>
    </comment>
    <comment ref="K10" authorId="0" shapeId="0">
      <text>
        <r>
          <rPr>
            <b/>
            <sz val="9"/>
            <color indexed="81"/>
            <rFont val="Tahoma"/>
            <family val="2"/>
            <charset val="161"/>
          </rPr>
          <t>Michael Katsigiannis:</t>
        </r>
        <r>
          <rPr>
            <sz val="9"/>
            <color indexed="81"/>
            <rFont val="Tahoma"/>
            <family val="2"/>
            <charset val="161"/>
          </rPr>
          <t xml:space="preserve">
these are part of LTE MSR base station</t>
        </r>
      </text>
    </comment>
    <comment ref="K123" authorId="1" shapeId="0">
      <text>
        <r>
          <rPr>
            <b/>
            <sz val="9"/>
            <color indexed="81"/>
            <rFont val="Tahoma"/>
            <family val="2"/>
            <charset val="161"/>
          </rPr>
          <t>mikekats:</t>
        </r>
        <r>
          <rPr>
            <sz val="9"/>
            <color indexed="81"/>
            <rFont val="Tahoma"/>
            <family val="2"/>
            <charset val="161"/>
          </rPr>
          <t xml:space="preserve">
minus the number of LTE1800 MSR
</t>
        </r>
      </text>
    </comment>
    <comment ref="L123" authorId="1" shapeId="0">
      <text>
        <r>
          <rPr>
            <b/>
            <sz val="9"/>
            <color indexed="81"/>
            <rFont val="Tahoma"/>
            <family val="2"/>
            <charset val="161"/>
          </rPr>
          <t>mikekats:</t>
        </r>
        <r>
          <rPr>
            <sz val="9"/>
            <color indexed="81"/>
            <rFont val="Tahoma"/>
            <family val="2"/>
            <charset val="161"/>
          </rPr>
          <t xml:space="preserve">
for refarming is zero</t>
        </r>
      </text>
    </comment>
    <comment ref="K157" authorId="1" shapeId="0">
      <text>
        <r>
          <rPr>
            <b/>
            <sz val="9"/>
            <color indexed="81"/>
            <rFont val="Tahoma"/>
            <family val="2"/>
            <charset val="161"/>
          </rPr>
          <t>mikekats:</t>
        </r>
        <r>
          <rPr>
            <sz val="9"/>
            <color indexed="81"/>
            <rFont val="Tahoma"/>
            <family val="2"/>
            <charset val="161"/>
          </rPr>
          <t xml:space="preserve">
minus the number of LTE1800 MSR
</t>
        </r>
      </text>
    </comment>
    <comment ref="L157" authorId="1" shapeId="0">
      <text>
        <r>
          <rPr>
            <b/>
            <sz val="9"/>
            <color indexed="81"/>
            <rFont val="Tahoma"/>
            <family val="2"/>
            <charset val="161"/>
          </rPr>
          <t>mikekats:</t>
        </r>
        <r>
          <rPr>
            <sz val="9"/>
            <color indexed="81"/>
            <rFont val="Tahoma"/>
            <family val="2"/>
            <charset val="161"/>
          </rPr>
          <t xml:space="preserve">
for refarming is zero</t>
        </r>
      </text>
    </comment>
    <comment ref="K193" authorId="1" shapeId="0">
      <text>
        <r>
          <rPr>
            <b/>
            <sz val="9"/>
            <color indexed="81"/>
            <rFont val="Tahoma"/>
            <family val="2"/>
            <charset val="161"/>
          </rPr>
          <t>mikekats:</t>
        </r>
        <r>
          <rPr>
            <sz val="9"/>
            <color indexed="81"/>
            <rFont val="Tahoma"/>
            <family val="2"/>
            <charset val="161"/>
          </rPr>
          <t xml:space="preserve">
minus the number of LTE1800 MSR
</t>
        </r>
      </text>
    </comment>
    <comment ref="L193" authorId="1" shapeId="0">
      <text>
        <r>
          <rPr>
            <b/>
            <sz val="9"/>
            <color indexed="81"/>
            <rFont val="Tahoma"/>
            <family val="2"/>
            <charset val="161"/>
          </rPr>
          <t>mikekats:</t>
        </r>
        <r>
          <rPr>
            <sz val="9"/>
            <color indexed="81"/>
            <rFont val="Tahoma"/>
            <family val="2"/>
            <charset val="161"/>
          </rPr>
          <t xml:space="preserve">
for refarming is zero</t>
        </r>
      </text>
    </comment>
  </commentList>
</comments>
</file>

<file path=xl/sharedStrings.xml><?xml version="1.0" encoding="utf-8"?>
<sst xmlns="http://schemas.openxmlformats.org/spreadsheetml/2006/main" count="823" uniqueCount="396">
  <si>
    <t>Data</t>
  </si>
  <si>
    <t>land area</t>
  </si>
  <si>
    <t>proportion of mobile data users</t>
  </si>
  <si>
    <t>Urban</t>
  </si>
  <si>
    <t>Suburban</t>
  </si>
  <si>
    <t>Rural</t>
  </si>
  <si>
    <t>total</t>
  </si>
  <si>
    <t>population</t>
  </si>
  <si>
    <t>Mobile data users</t>
  </si>
  <si>
    <t>mobile penetration</t>
  </si>
  <si>
    <t>market share</t>
  </si>
  <si>
    <t>distribution over 24hour period (time domain)</t>
  </si>
  <si>
    <t>mobile network users</t>
  </si>
  <si>
    <t>average DL data traffic volume per mobile data users per month (MB/mon)</t>
  </si>
  <si>
    <t>traffic distribution among sites (space domain)</t>
  </si>
  <si>
    <t>indoor to outdoor ratio</t>
  </si>
  <si>
    <t>average indoor DL data traffic volume per mobile data users per month</t>
  </si>
  <si>
    <t>LA service penetration in venues</t>
  </si>
  <si>
    <t>Current Volume</t>
  </si>
  <si>
    <t>Growth</t>
  </si>
  <si>
    <t>Data traffic share among regions</t>
  </si>
  <si>
    <t>uplink to downlink ratio</t>
  </si>
  <si>
    <t>-</t>
  </si>
  <si>
    <t>Future Volume</t>
  </si>
  <si>
    <t>average data traffic volume per mobile data users per month (MB/mon)</t>
  </si>
  <si>
    <t>GERAN</t>
  </si>
  <si>
    <t>territory coverage</t>
  </si>
  <si>
    <t>UTRAN</t>
  </si>
  <si>
    <t># of node-Bs</t>
  </si>
  <si>
    <t>R7_HSPA+_21</t>
  </si>
  <si>
    <t>R8_HSPA+_42_DC</t>
  </si>
  <si>
    <t>R10_HSPA+_84_QC</t>
  </si>
  <si>
    <t>E-UTRAN</t>
  </si>
  <si>
    <t># of enode-Bs</t>
  </si>
  <si>
    <t>no MSR</t>
  </si>
  <si>
    <t>MSR</t>
  </si>
  <si>
    <t>TB/mon</t>
  </si>
  <si>
    <t>Total</t>
  </si>
  <si>
    <t>traffic distribution among technologies</t>
  </si>
  <si>
    <t>room for more carriers</t>
  </si>
  <si>
    <t>extra carriers</t>
  </si>
  <si>
    <t>average cell range</t>
  </si>
  <si>
    <t>site capacity (data kbps)</t>
  </si>
  <si>
    <t>Data Network capacity (kbps)</t>
  </si>
  <si>
    <t># of BTS</t>
  </si>
  <si>
    <t xml:space="preserve">Sc.1 </t>
  </si>
  <si>
    <t>Add carriers on UTRAN</t>
  </si>
  <si>
    <t>Future demanded traffic which is served by</t>
  </si>
  <si>
    <t xml:space="preserve">Extra needed capacity </t>
  </si>
  <si>
    <t>traffic distribution among technologies in future</t>
  </si>
  <si>
    <t>extra enodeBs</t>
  </si>
  <si>
    <t>room for coexisted LTE and GERAN1800</t>
  </si>
  <si>
    <t xml:space="preserve">refarming </t>
  </si>
  <si>
    <t>Sc.2</t>
  </si>
  <si>
    <t>unsatisfied traffic</t>
  </si>
  <si>
    <t>Add LTE1800 MSR on GERAN1800 sites - remove BTS1800 but GSM service remains</t>
  </si>
  <si>
    <t>Sc.1</t>
  </si>
  <si>
    <t>Radio Access Network equipment list</t>
  </si>
  <si>
    <t>CAPEX</t>
  </si>
  <si>
    <t>other non-RAN elements</t>
  </si>
  <si>
    <t>IMPEX</t>
  </si>
  <si>
    <t>new site acquision, buildout, replacement</t>
  </si>
  <si>
    <t>other installation/replacement of equipment</t>
  </si>
  <si>
    <t># of new equipment</t>
  </si>
  <si>
    <t>€/other installation</t>
  </si>
  <si>
    <t xml:space="preserve">Radio Access Network related OPEX </t>
  </si>
  <si>
    <t>Energy</t>
  </si>
  <si>
    <t>GWh</t>
  </si>
  <si>
    <t xml:space="preserve">Employees </t>
  </si>
  <si>
    <t># of employees</t>
  </si>
  <si>
    <t>Network operation &amp; maintenance (O&amp;M)</t>
  </si>
  <si>
    <t># of components</t>
  </si>
  <si>
    <t>Unit cost</t>
  </si>
  <si>
    <t>€/MWh</t>
  </si>
  <si>
    <t>€/mon</t>
  </si>
  <si>
    <t>€/component/mon</t>
  </si>
  <si>
    <t>€</t>
  </si>
  <si>
    <t>AP range 2600</t>
  </si>
  <si>
    <t>max connections</t>
  </si>
  <si>
    <t>offloadinf</t>
  </si>
  <si>
    <t>BTS</t>
  </si>
  <si>
    <t>Type of macro sites</t>
  </si>
  <si>
    <t>Tower sites share</t>
  </si>
  <si>
    <t>Roof-top sites share</t>
  </si>
  <si>
    <t>owned tower sites share (out of tower sites)</t>
  </si>
  <si>
    <t>owned roof-top sites share (out of roof-top sites)</t>
  </si>
  <si>
    <t>rental tower sites share (out of tower sites)</t>
  </si>
  <si>
    <t>rental roof-top sites share (out of roof-top sites)</t>
  </si>
  <si>
    <t>Site infrastructure sharing</t>
  </si>
  <si>
    <t>shared rental tower sites</t>
  </si>
  <si>
    <t>shared rental roof-top sites</t>
  </si>
  <si>
    <t>owned tower site, antenna system and ancillary equipment</t>
  </si>
  <si>
    <t>owned roof-top site, antenna system and ancillary equipment</t>
  </si>
  <si>
    <t>rental tower site, antenna system and ancillary equipment</t>
  </si>
  <si>
    <t>rental roof-top site, antenna system and ancillary equipment</t>
  </si>
  <si>
    <t>shared rental tower site, antenna system and ancillary equipment</t>
  </si>
  <si>
    <t>shared rental roof-top site, antenna system and ancillary equipment</t>
  </si>
  <si>
    <t>total sites</t>
  </si>
  <si>
    <t>BSC</t>
  </si>
  <si>
    <t>PCU</t>
  </si>
  <si>
    <t>Node-B</t>
  </si>
  <si>
    <t>RNC</t>
  </si>
  <si>
    <t>eNode-B &amp; new antenna system</t>
  </si>
  <si>
    <t>total base stations</t>
  </si>
  <si>
    <t>other RAN elements - design parameters</t>
  </si>
  <si>
    <t>BSC capacity - max TRX</t>
  </si>
  <si>
    <t>PCU for GPRS/EDGE</t>
  </si>
  <si>
    <t>BTS per PCU</t>
  </si>
  <si>
    <t>RNC capacity  - in number of Node-Bs</t>
  </si>
  <si>
    <t>TRx per BTS</t>
  </si>
  <si>
    <t xml:space="preserve">Site rental </t>
  </si>
  <si>
    <t># of sites</t>
  </si>
  <si>
    <t>energy of sites</t>
  </si>
  <si>
    <t>€/site/mon</t>
  </si>
  <si>
    <t>Fixed and Variable cost</t>
  </si>
  <si>
    <t>Mixed cost or semi-variable cost (electricity costs)</t>
  </si>
  <si>
    <t xml:space="preserve">Variable component of Energy </t>
  </si>
  <si>
    <t>Fixed component of Energy</t>
  </si>
  <si>
    <t>Fixed cost</t>
  </si>
  <si>
    <t>Employee salary</t>
  </si>
  <si>
    <t>Total Fixed cost</t>
  </si>
  <si>
    <t>Total cost</t>
  </si>
  <si>
    <t>load factor</t>
  </si>
  <si>
    <t>load factor in BH</t>
  </si>
  <si>
    <t>TB in BH</t>
  </si>
  <si>
    <t>Extra needed capacity</t>
  </si>
  <si>
    <t>increamental traffic of 1 enodeB TB in BH</t>
  </si>
  <si>
    <t>increamental traffic of 1 enodeB TB in  BH</t>
  </si>
  <si>
    <t>nodeB</t>
  </si>
  <si>
    <t>enodeB</t>
  </si>
  <si>
    <t>Pmax</t>
  </si>
  <si>
    <t>po</t>
  </si>
  <si>
    <t>variable</t>
  </si>
  <si>
    <t>Pax</t>
  </si>
  <si>
    <t>Pidle</t>
  </si>
  <si>
    <t>Pload</t>
  </si>
  <si>
    <t xml:space="preserve">fixed </t>
  </si>
  <si>
    <t xml:space="preserve">OPEX </t>
  </si>
  <si>
    <t>Node-B upgrades</t>
  </si>
  <si>
    <t>Node-B upgrades (carrier/software)</t>
  </si>
  <si>
    <t>other (spectrum)</t>
  </si>
  <si>
    <t>MHz</t>
  </si>
  <si>
    <t>€/MHz</t>
  </si>
  <si>
    <t>years of spectrum possesion</t>
  </si>
  <si>
    <t>current</t>
  </si>
  <si>
    <t>replacement rate (yearly)</t>
  </si>
  <si>
    <t>asset lifetime (years)</t>
  </si>
  <si>
    <t>installation ready</t>
  </si>
  <si>
    <t>Equipment replacement and installation (no sites)</t>
  </si>
  <si>
    <t>Unit cost (€/component)</t>
  </si>
  <si>
    <t>new site buildout, replacement</t>
  </si>
  <si>
    <t># of upgrades</t>
  </si>
  <si>
    <t># of replaced sites</t>
  </si>
  <si>
    <t>€/site</t>
  </si>
  <si>
    <t>€/Node-B upgrade</t>
  </si>
  <si>
    <t>OPEX</t>
  </si>
  <si>
    <t>unit cost (€)</t>
  </si>
  <si>
    <t>site per base stations ratio</t>
  </si>
  <si>
    <t>cost of core elements</t>
  </si>
  <si>
    <t>AP Ptx transmission power (W)</t>
  </si>
  <si>
    <t>AP range 3500 (not used)</t>
  </si>
  <si>
    <t>other (replacements)</t>
  </si>
  <si>
    <t>Energy consumption (based on traffic load)</t>
  </si>
  <si>
    <t>Energy consumption (at idle mode)</t>
  </si>
  <si>
    <t xml:space="preserve">Total energy consumption </t>
  </si>
  <si>
    <t>Energy (variable component)</t>
  </si>
  <si>
    <t>Energy (fixed component)</t>
  </si>
  <si>
    <t>GWh/mon</t>
  </si>
  <si>
    <t>Data traffic volume</t>
  </si>
  <si>
    <t>Total data traffic volume (whole country)</t>
  </si>
  <si>
    <t>AFC</t>
  </si>
  <si>
    <t>AVC</t>
  </si>
  <si>
    <t>ATC</t>
  </si>
  <si>
    <t>MC</t>
  </si>
  <si>
    <t xml:space="preserve">Variable cost </t>
  </si>
  <si>
    <t xml:space="preserve">Fixed cost </t>
  </si>
  <si>
    <t>€/TB</t>
  </si>
  <si>
    <t>GB/mon/user</t>
  </si>
  <si>
    <t>€/GB</t>
  </si>
  <si>
    <t>€/mon per data user</t>
  </si>
  <si>
    <t>SHORT-RUN ANALYSIS</t>
  </si>
  <si>
    <t>TB/6mon</t>
  </si>
  <si>
    <t>unsatisfied traffic (TB in BH)</t>
  </si>
  <si>
    <t>offloading</t>
  </si>
  <si>
    <t>DL TB/mon</t>
  </si>
  <si>
    <t xml:space="preserve">MP of energy  </t>
  </si>
  <si>
    <t>incremental traffic of 1 carrier (TB in hout)</t>
  </si>
  <si>
    <t xml:space="preserve">AP data rate (Mbps) </t>
  </si>
  <si>
    <t>TB/hour</t>
  </si>
  <si>
    <t>Max Demanded traffic capable to be satisfied</t>
  </si>
  <si>
    <t>Max Demanded traffic which can be satisfied by</t>
  </si>
  <si>
    <t>in BHTrD DL</t>
  </si>
  <si>
    <t>Max_Traffic_to_be_satisfied_regional_TB_mon</t>
  </si>
  <si>
    <t>extra demanded traffic to be satisfied by the current net</t>
  </si>
  <si>
    <t>TB/mon DL</t>
  </si>
  <si>
    <t>in DL BH</t>
  </si>
  <si>
    <t>TB in BH DL TrD</t>
  </si>
  <si>
    <t>sunk cost</t>
  </si>
  <si>
    <t>equip</t>
  </si>
  <si>
    <t>impex</t>
  </si>
  <si>
    <t>room for more</t>
  </si>
  <si>
    <t>max enodeB</t>
  </si>
  <si>
    <t>kbps</t>
  </si>
  <si>
    <t>BH ratio for venue visitors</t>
  </si>
  <si>
    <t>extra capacity per technology</t>
  </si>
  <si>
    <t>extra enodeBs &amp; carriers</t>
  </si>
  <si>
    <t>both</t>
  </si>
  <si>
    <t>Sc3</t>
  </si>
  <si>
    <t>Mhz</t>
  </si>
  <si>
    <t>bps/Hz</t>
  </si>
  <si>
    <t xml:space="preserve"> TB/6-month</t>
  </si>
  <si>
    <t>Power</t>
  </si>
  <si>
    <t>Population density</t>
  </si>
  <si>
    <t>Population coverage</t>
  </si>
  <si>
    <t>energy cost</t>
  </si>
  <si>
    <t>energy share to opex</t>
  </si>
  <si>
    <t>Data traffic volume (TB/6-month)-total</t>
  </si>
  <si>
    <t>Data traffic volume (TB/6-month)-one MO</t>
  </si>
  <si>
    <t>max carriers</t>
  </si>
  <si>
    <t>current carriers</t>
  </si>
  <si>
    <t>max enodeB on 1800</t>
  </si>
  <si>
    <t>currrent enodeB on 1800</t>
  </si>
  <si>
    <t>Equipment cost (EURO)</t>
  </si>
  <si>
    <t>OPEX (EURO/mon)</t>
  </si>
  <si>
    <t>ScU3_eutran_capacity_share</t>
  </si>
  <si>
    <t>ScU3_utran_capacity_share</t>
  </si>
  <si>
    <t>max additional enodeB</t>
  </si>
  <si>
    <t>KWh/GB</t>
  </si>
  <si>
    <t>GWh/year</t>
  </si>
  <si>
    <t>TB/year for MO</t>
  </si>
  <si>
    <t>GB/year for MO</t>
  </si>
  <si>
    <t>GB/mon for MO</t>
  </si>
  <si>
    <t>KgCO1/KWh</t>
  </si>
  <si>
    <t>kgCO2/GB</t>
  </si>
  <si>
    <t>in 2012</t>
  </si>
  <si>
    <t>Total cost (EUR/mon)</t>
  </si>
  <si>
    <t>years</t>
  </si>
  <si>
    <t>total country</t>
  </si>
  <si>
    <t>other</t>
  </si>
  <si>
    <t>GERAN@900, GSM/EDGE</t>
  </si>
  <si>
    <t>GERAN@1800, GSM/EDGE</t>
  </si>
  <si>
    <t>UTRAN@2100, HSPA+, R7, 64 QAM, 21 Mbps</t>
  </si>
  <si>
    <t>UTRAN@2100, DC-HSPA+, R8, 64 QAM, 42 Mbps</t>
  </si>
  <si>
    <t xml:space="preserve">UTRAN@2100, QC-HSPA+, R10, 64 QAM, 2x2 MIMO, 168 Mbps </t>
  </si>
  <si>
    <t>UTRAN@2100, DC-HSPA+, R11, 64 QAM, 4x4 MIMO, 168 Mbps</t>
  </si>
  <si>
    <t>UTRAN@2100, QC-HSPA+, R11, 64 QAM, 4x4 MIMO, 336 Mbps</t>
  </si>
  <si>
    <t>E-UTRAN@2600, LTE, R8, 20 MHz, 64 QAM, 2x2 MIMO, 172 (150) Mbps</t>
  </si>
  <si>
    <t>E-UTRAN@2100, LTE, R8, 20 MHz, 64 QAM, 2x2 MIMO, 172 (150) Mbps</t>
  </si>
  <si>
    <t>E-UTRAN@900, LTE, R8, 10MHz, 64 QAM, 2x2 MIMO, 86 (75) Mbps</t>
  </si>
  <si>
    <t>E-UTRAN@800, LTE, R8, 10MHz, 64 QAM, 2x2 MIMO, 86 (75) Mbps</t>
  </si>
  <si>
    <t>E-UTRAN@700, LTE, R8, 10MHz, 64 QAM, 2x2 MIMO, 86 (75) Mbps</t>
  </si>
  <si>
    <t>E-UTRAN@2600, LTE, 20 MHz, 256 QAM, 2x2 MIMO, 230 (200) Mbps</t>
  </si>
  <si>
    <t>E-UTRAN@1800, LTE, 20 MHz, 256 QAM, 2x2 MIMO, 230 (200) Mbps</t>
  </si>
  <si>
    <t>E-UTRAN@900, LTE, 10MHz, 256 QAM, 2x2 MIMO, 117 (100) Mbps</t>
  </si>
  <si>
    <t>E-UTRAN@800, LTE, 10MHz, 256 QAM, 2x2 MIMO, 117 (100) Mbps</t>
  </si>
  <si>
    <t>E-UTRAN@700, LTE, 10MHz, 256 QAM, 2x2 MIMO, 117 (100) Mbps</t>
  </si>
  <si>
    <t>E-UTRAN@2600, LTE, 20 MHz, 256 QAM, 4x4 MIMO, 460 (400) Mbps</t>
  </si>
  <si>
    <t>E-UTRAN@2100, LTE, 20 MHz, 256 QAM, 4x4 MIMO, 460 (400) Mbps</t>
  </si>
  <si>
    <t>E-UTRAN@900, LTE, 10MHz, 256 QAM, 4x4 MIMO, 234 (200) Mbps</t>
  </si>
  <si>
    <t>E-UTRAN@800, LTE, 10MHz, 256 QAM, 4x4 MIMO, 234 (200) Mbps</t>
  </si>
  <si>
    <t>E-UTRAN@1800, LTE, R8, 20 MHz, 64 QAM, 2x2 MIMO, 172 (150) Mbps</t>
  </si>
  <si>
    <t>E-UTRAN@2100, LTE, 20 MHz, 256 QAM, 2x2 MIMO, 230 (200) Mbps</t>
  </si>
  <si>
    <t>E-UTRAN@1800, LTE, 20 MHz, 256 QAM, 4x4 MIMO, 460 (400) Mbps</t>
  </si>
  <si>
    <t>E-UTRAN@700, LTE, 10MHz, 256 QAM, 4x4 MIMO, 234 (200) Mbps</t>
  </si>
  <si>
    <t>UTRAN@2100, DC-HSPA+, R9, 64 QAM, 2x2 MIMO, 84 Mbps</t>
  </si>
  <si>
    <t>UTRAN@2100, QC-HSPA+, R8, 64 QAM, 84 Mbps</t>
  </si>
  <si>
    <t>UTRAN@2100, TC-HSPA+, R8, 64 QAM, 63 Mbps</t>
  </si>
  <si>
    <t xml:space="preserve">UTRAN@2100, TC-HSPA+, R10, 64 QAM, 2x2 MIMO, 126 Mbps </t>
  </si>
  <si>
    <t>UTRAN@2100, HSPA+, R7, 64 QAM, 2x2 MIMO, 42 Mbps</t>
  </si>
  <si>
    <t>UTRAN@2100, HSPA+, R11, 64 QAM, 4x4 MIMO, 84 Mbps</t>
  </si>
  <si>
    <t>UTRAN@2100, TC-HSPA+, R11, 64 QAM, 4x4 MIMO, 252 Mbps</t>
  </si>
  <si>
    <t xml:space="preserve">UUTRAN@900, HSPA+, R7, 64 QAM, 21 Mbps </t>
  </si>
  <si>
    <t>UTRAN@900, HSPA+, R8, 64 QAM, 2x2 MIMO, 42 Mbps</t>
  </si>
  <si>
    <t>UTRAN@900, HSPA+, R11, 64 QAM, 4x4 MIMO, 84 Mbps</t>
  </si>
  <si>
    <t xml:space="preserve">GERAN@1800, GSM/EDGE </t>
  </si>
  <si>
    <t>LTE CA</t>
  </si>
  <si>
    <t>ter cov</t>
  </si>
  <si>
    <t>CA#2: E-UTRAN@1800+800, LTE-A, R11, CA, 20+10 MHz, 64 QAM, 2x2 MIMO, 258 (225) Mbps</t>
  </si>
  <si>
    <t>CA#3: E-UTRAN@900+800+700, LTE-A, R12, CA, 10+10+10 MHz, 64 QAM, 2x2 MIMO, 258 (225) Mbps</t>
  </si>
  <si>
    <t xml:space="preserve">CA#5: E-UTRAN@2600+2100+1800, LTE-A, R13, CA, 20+20+20 MHz, 64 QAM, 2x2 MIMO, 516 (450) Mbps </t>
  </si>
  <si>
    <t>CA#6: E-UTRAN@2600+2100+1800, LTE-A, R13, CA, 20+20+20 MHz, 256 QAM, 2x2 MIMO, 690 (600) Mbps</t>
  </si>
  <si>
    <t>CA#7: E-UTRAN@2600+2100+1800, LTE-A, R13, CA, 20+20+20 MHz, 256 QAM, 4x4 MIMO, 1380 (1200) Mbps</t>
  </si>
  <si>
    <t>CA#8: E-UTRAN@2600+2100+1800+900+800, LTE-A, R14, CA, 20+20+20+10+10 MHz, 256 QAM, 4x4 MIMO, 1848 (1600) Mbps</t>
  </si>
  <si>
    <t>CA#1: E-UTRAN@2600+1800, LTE-A, R11, CA, 20+20 MHz, 64 QAM, 2x2 MIMO, 344(300) Mbps</t>
  </si>
  <si>
    <t xml:space="preserve">CA#4: E-UTRAN@2600+1800+800, LTE-A, R12, CA, 20+20+10 MHz, 64 QAM, 2x2 MIMO, 430 (375) Mbps </t>
  </si>
  <si>
    <t>single eNobeB</t>
  </si>
  <si>
    <t>tri-cells</t>
  </si>
  <si>
    <t>eNodeB upgrade for CA</t>
  </si>
  <si>
    <t>1H/2016</t>
  </si>
  <si>
    <t>load factors</t>
  </si>
  <si>
    <t>nodeB DC</t>
  </si>
  <si>
    <t>nodeB TC</t>
  </si>
  <si>
    <t>nodeB QC</t>
  </si>
  <si>
    <t>enodeB_CA_2600_1800</t>
  </si>
  <si>
    <t>enodeB_CA_1800_800</t>
  </si>
  <si>
    <t>enodeB_CA_900_800_700</t>
  </si>
  <si>
    <t>enodeB_CA_2600_1800_800</t>
  </si>
  <si>
    <t>enodeB_CA_2600_2100_1800</t>
  </si>
  <si>
    <t>enodeB_CA_2600_2100_1800_256QAM</t>
  </si>
  <si>
    <t>enodeB_CA_2600_2100_1800_256QAM_4x4</t>
  </si>
  <si>
    <t>enodeB_CA_2600_2100_1800_900_800_256QAM_4x4</t>
  </si>
  <si>
    <t>eNodeBs CA upgrades</t>
  </si>
  <si>
    <t>€/eNode-B upgrade</t>
  </si>
  <si>
    <t>2014-2034</t>
  </si>
  <si>
    <t>2017-2037</t>
  </si>
  <si>
    <t>Core Urban</t>
  </si>
  <si>
    <t>TB/mon for MO</t>
  </si>
  <si>
    <t>Total base stations</t>
  </si>
  <si>
    <t>Toal capacity</t>
  </si>
  <si>
    <t>Data traffic volume (Core Urban)</t>
  </si>
  <si>
    <t>AP of energy (TB/mon per 1 MWh/mon)</t>
  </si>
  <si>
    <t>NB-IoT</t>
  </si>
  <si>
    <t>Total country</t>
  </si>
  <si>
    <t>capacity share for zero extra demanede traffic to be satisfied by the current network</t>
  </si>
  <si>
    <t>software upgrades</t>
  </si>
  <si>
    <t>Application server</t>
  </si>
  <si>
    <t>SCEF (Service Capability Exposure Function)</t>
  </si>
  <si>
    <t xml:space="preserve">Data rate (Mbps) </t>
  </si>
  <si>
    <t>Ptx transmission power (W)/per connection</t>
  </si>
  <si>
    <t>Total RAN cost</t>
  </si>
  <si>
    <t>HSS upgrade  ??</t>
  </si>
  <si>
    <t>SCEFR can solve congestion problem created by these situations:</t>
  </si>
  <si>
    <t>data congestion in DL when firmware update is required</t>
  </si>
  <si>
    <t>Control congestion in DL when netwotrk triggers IoT devices</t>
  </si>
  <si>
    <t>cell capacity (data kbps)</t>
  </si>
  <si>
    <t>Data Network capacity with 3-sectored sites (kbps)</t>
  </si>
  <si>
    <t>#of BTS cells</t>
  </si>
  <si>
    <t>with eNodeB</t>
  </si>
  <si>
    <t>20, 22</t>
  </si>
  <si>
    <t>22, 24</t>
  </si>
  <si>
    <t>23,24,25</t>
  </si>
  <si>
    <t>20,22,24</t>
  </si>
  <si>
    <t>20,21,22</t>
  </si>
  <si>
    <t>26,27,28</t>
  </si>
  <si>
    <t>32,33,34</t>
  </si>
  <si>
    <t>32,33,34,35,36</t>
  </si>
  <si>
    <t>Total cells</t>
  </si>
  <si>
    <t>EUTRAN</t>
  </si>
  <si>
    <t>room capacity</t>
  </si>
  <si>
    <t>capacity_total_per_region</t>
  </si>
  <si>
    <t>E-UTRAN_CA</t>
  </si>
  <si>
    <t>E-UTRAN_s</t>
  </si>
  <si>
    <t>daily/monthly average</t>
  </si>
  <si>
    <t>capacity share for 10% roomcapacity</t>
  </si>
  <si>
    <t>Data traffic volume (TB/6-month)-one MO region</t>
  </si>
  <si>
    <t>Demanded traffic per cell</t>
  </si>
  <si>
    <t>demanded traffic per high load cell</t>
  </si>
  <si>
    <t>demanded traffic per low load cell</t>
  </si>
  <si>
    <t xml:space="preserve">Mbps </t>
  </si>
  <si>
    <t>(hourly) average for high load cell</t>
  </si>
  <si>
    <t>average for low loaded cell</t>
  </si>
  <si>
    <t xml:space="preserve">Mbps  </t>
  </si>
  <si>
    <t>Demanded  traffic which is served by</t>
  </si>
  <si>
    <t>average cell throughput</t>
  </si>
  <si>
    <t>TrD DL</t>
  </si>
  <si>
    <t>Mbps</t>
  </si>
  <si>
    <t>Total network capacity (max actual)</t>
  </si>
  <si>
    <t>Total Demanded traffic  (UL+DL) to be satisfied with even traffic distribution</t>
  </si>
  <si>
    <t>Total Demanded traffic  (UL+DL) to be satisfied with even traffic distribution (UL+DL)</t>
  </si>
  <si>
    <t>DL Mbps BH TrD</t>
  </si>
  <si>
    <t>rounded cells</t>
  </si>
  <si>
    <t>typical cell cap</t>
  </si>
  <si>
    <t>for LR</t>
  </si>
  <si>
    <t>sites_owned_towers</t>
  </si>
  <si>
    <t>sites_owned_rooftop</t>
  </si>
  <si>
    <t>sites_rent_tower</t>
  </si>
  <si>
    <t>sites_rent_rooftop</t>
  </si>
  <si>
    <t>sites_shared_rent_tower</t>
  </si>
  <si>
    <t>sites_shared_rent_rooftop</t>
  </si>
  <si>
    <t>PCU - stop using it</t>
  </si>
  <si>
    <t>Node-B upgrades (carrier/software) - for LR</t>
  </si>
  <si>
    <t>upgrades - for LR</t>
  </si>
  <si>
    <t>Node-B upgrades - for LR</t>
  </si>
  <si>
    <t>eNodeBs CA upgrades - for LR</t>
  </si>
  <si>
    <t>data usage</t>
  </si>
  <si>
    <t>900refarming</t>
  </si>
  <si>
    <t>other installation/replacement of equipment - stop using it</t>
  </si>
  <si>
    <t>RAN transmission</t>
  </si>
  <si>
    <t>RAN_to_core_transmission</t>
  </si>
  <si>
    <t>core_transmission</t>
  </si>
  <si>
    <t>PSelement</t>
  </si>
  <si>
    <t>Psentities</t>
  </si>
  <si>
    <t>capacity</t>
  </si>
  <si>
    <t>EPCentities</t>
  </si>
  <si>
    <t>common</t>
  </si>
  <si>
    <t>otherRAN</t>
  </si>
  <si>
    <t>otherRAN_to_core</t>
  </si>
  <si>
    <t>otherCore</t>
  </si>
  <si>
    <t>non_network_tangible_fixed_assets</t>
  </si>
  <si>
    <t>intangible_fixed_assets</t>
  </si>
  <si>
    <t>RAN</t>
  </si>
  <si>
    <t>RAM_to_core</t>
  </si>
  <si>
    <t>core</t>
  </si>
  <si>
    <t>Network</t>
  </si>
  <si>
    <t>Netwotk+non-network</t>
  </si>
  <si>
    <t>leased-transmission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</si>
</sst>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64" formatCode="0.0\ %"/>
    <numFmt numFmtId="165" formatCode="0.0"/>
    <numFmt numFmtId="166" formatCode="0.0000"/>
    <numFmt numFmtId="167" formatCode="0.000"/>
    <numFmt numFmtId="168" formatCode="0.000000"/>
    <numFmt numFmtId="169" formatCode="0.00000000"/>
    <numFmt numFmtId="170" formatCode="0.0%"/>
    <numFmt numFmtId="171" formatCode="0.0000000"/>
    <numFmt numFmtId="172" formatCode="0.00000"/>
    <numFmt numFmtId="173" formatCode="0.0000000000"/>
    <numFmt numFmtId="174" formatCode="0.000%"/>
    <numFmt numFmtId="175" formatCode="0.0000000000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indexed="81"/>
      <name val="Tahoma"/>
      <family val="2"/>
      <charset val="161"/>
    </font>
    <font>
      <sz val="9"/>
      <color indexed="81"/>
      <name val="Tahoma"/>
      <family val="2"/>
      <charset val="161"/>
    </font>
    <font>
      <b/>
      <sz val="18"/>
      <color theme="1"/>
      <name val="Arial"/>
      <family val="2"/>
    </font>
    <font>
      <b/>
      <sz val="14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i/>
      <sz val="11"/>
      <color theme="9" tint="-0.499984740745262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B050"/>
      <name val="Arial"/>
      <family val="2"/>
    </font>
    <font>
      <sz val="11"/>
      <color rgb="FF0070C0"/>
      <name val="Arial"/>
      <family val="2"/>
    </font>
    <font>
      <sz val="11"/>
      <color rgb="FF00B050"/>
      <name val="Calibri"/>
      <family val="2"/>
      <scheme val="minor"/>
    </font>
    <font>
      <b/>
      <sz val="1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1"/>
      <name val="Calibri"/>
      <family val="2"/>
      <charset val="161"/>
      <scheme val="minor"/>
    </font>
    <font>
      <b/>
      <sz val="11"/>
      <name val="Arial"/>
      <family val="2"/>
      <charset val="161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</fills>
  <borders count="26">
    <border>
      <left/>
      <right/>
      <top/>
      <bottom/>
      <diagonal/>
    </border>
    <border>
      <left style="dotted">
        <color indexed="57"/>
      </left>
      <right style="dotted">
        <color indexed="57"/>
      </right>
      <top style="dotted">
        <color indexed="57"/>
      </top>
      <bottom style="dotted">
        <color indexed="57"/>
      </bottom>
      <diagonal/>
    </border>
    <border>
      <left style="dashed">
        <color theme="5" tint="0.39994506668294322"/>
      </left>
      <right style="dashed">
        <color theme="5" tint="0.39994506668294322"/>
      </right>
      <top style="dashed">
        <color theme="5" tint="0.39994506668294322"/>
      </top>
      <bottom style="dashed">
        <color theme="5" tint="0.39994506668294322"/>
      </bottom>
      <diagonal/>
    </border>
    <border>
      <left style="medium">
        <color theme="3" tint="0.39994506668294322"/>
      </left>
      <right style="medium">
        <color theme="3" tint="0.39994506668294322"/>
      </right>
      <top style="medium">
        <color theme="3" tint="0.39994506668294322"/>
      </top>
      <bottom style="medium">
        <color theme="3" tint="0.39994506668294322"/>
      </bottom>
      <diagonal/>
    </border>
    <border>
      <left style="dashed">
        <color theme="3" tint="0.39994506668294322"/>
      </left>
      <right style="dashed">
        <color theme="3" tint="0.39994506668294322"/>
      </right>
      <top style="dashed">
        <color theme="3" tint="0.39994506668294322"/>
      </top>
      <bottom style="dashed">
        <color theme="3" tint="0.39994506668294322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2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1" applyNumberFormat="0" applyAlignment="0">
      <alignment vertical="center"/>
    </xf>
    <xf numFmtId="1" fontId="1" fillId="0" borderId="2">
      <alignment horizontal="center" vertical="center"/>
    </xf>
    <xf numFmtId="1" fontId="1" fillId="0" borderId="3">
      <alignment horizontal="center" vertical="center"/>
    </xf>
    <xf numFmtId="1" fontId="1" fillId="0" borderId="4">
      <alignment horizontal="center" vertical="center"/>
    </xf>
    <xf numFmtId="0" fontId="8" fillId="0" borderId="5" applyNumberFormat="0" applyAlignment="0">
      <alignment vertical="center"/>
      <protection locked="0"/>
    </xf>
    <xf numFmtId="2" fontId="9" fillId="2" borderId="0" applyFill="0" applyBorder="0" applyAlignment="0"/>
    <xf numFmtId="0" fontId="10" fillId="0" borderId="0"/>
  </cellStyleXfs>
  <cellXfs count="229">
    <xf numFmtId="0" fontId="0" fillId="0" borderId="0" xfId="0"/>
    <xf numFmtId="1" fontId="11" fillId="0" borderId="0" xfId="0" applyNumberFormat="1" applyFont="1" applyFill="1"/>
    <xf numFmtId="0" fontId="12" fillId="0" borderId="0" xfId="0" applyFont="1"/>
    <xf numFmtId="2" fontId="12" fillId="0" borderId="0" xfId="0" applyNumberFormat="1" applyFont="1" applyFill="1" applyBorder="1" applyAlignment="1">
      <alignment horizontal="center"/>
    </xf>
    <xf numFmtId="10" fontId="12" fillId="0" borderId="0" xfId="0" applyNumberFormat="1" applyFont="1" applyFill="1" applyBorder="1" applyAlignment="1">
      <alignment horizontal="center"/>
    </xf>
    <xf numFmtId="1" fontId="12" fillId="0" borderId="0" xfId="0" applyNumberFormat="1" applyFont="1" applyFill="1" applyBorder="1" applyAlignment="1">
      <alignment horizontal="center"/>
    </xf>
    <xf numFmtId="0" fontId="13" fillId="0" borderId="0" xfId="0" applyFont="1"/>
    <xf numFmtId="0" fontId="14" fillId="0" borderId="0" xfId="0" applyFont="1"/>
    <xf numFmtId="166" fontId="11" fillId="0" borderId="0" xfId="0" applyNumberFormat="1" applyFont="1" applyFill="1" applyBorder="1" applyAlignment="1">
      <alignment horizontal="center"/>
    </xf>
    <xf numFmtId="2" fontId="11" fillId="0" borderId="0" xfId="0" applyNumberFormat="1" applyFont="1" applyFill="1" applyBorder="1" applyAlignment="1">
      <alignment horizontal="center"/>
    </xf>
    <xf numFmtId="165" fontId="12" fillId="0" borderId="0" xfId="0" applyNumberFormat="1" applyFont="1" applyFill="1" applyBorder="1" applyAlignment="1">
      <alignment horizontal="center"/>
    </xf>
    <xf numFmtId="1" fontId="14" fillId="0" borderId="0" xfId="0" applyNumberFormat="1" applyFont="1"/>
    <xf numFmtId="0" fontId="11" fillId="0" borderId="0" xfId="0" applyFont="1" applyAlignment="1">
      <alignment horizontal="center"/>
    </xf>
    <xf numFmtId="0" fontId="11" fillId="0" borderId="0" xfId="0" applyFont="1" applyFill="1" applyBorder="1" applyAlignment="1"/>
    <xf numFmtId="10" fontId="14" fillId="0" borderId="0" xfId="0" applyNumberFormat="1" applyFont="1"/>
    <xf numFmtId="0" fontId="11" fillId="0" borderId="0" xfId="0" applyFont="1"/>
    <xf numFmtId="9" fontId="11" fillId="0" borderId="0" xfId="0" applyNumberFormat="1" applyFont="1" applyFill="1" applyBorder="1" applyAlignment="1">
      <alignment horizontal="center"/>
    </xf>
    <xf numFmtId="1" fontId="11" fillId="0" borderId="0" xfId="0" applyNumberFormat="1" applyFont="1" applyFill="1" applyBorder="1" applyAlignment="1">
      <alignment horizontal="center"/>
    </xf>
    <xf numFmtId="9" fontId="11" fillId="0" borderId="6" xfId="0" applyNumberFormat="1" applyFont="1" applyFill="1" applyBorder="1" applyAlignment="1">
      <alignment horizontal="center"/>
    </xf>
    <xf numFmtId="9" fontId="14" fillId="0" borderId="0" xfId="0" applyNumberFormat="1" applyFont="1"/>
    <xf numFmtId="2" fontId="14" fillId="0" borderId="0" xfId="0" applyNumberFormat="1" applyFont="1"/>
    <xf numFmtId="1" fontId="14" fillId="0" borderId="0" xfId="0" applyNumberFormat="1" applyFont="1" applyAlignment="1">
      <alignment horizontal="center"/>
    </xf>
    <xf numFmtId="9" fontId="11" fillId="0" borderId="0" xfId="0" applyNumberFormat="1" applyFont="1"/>
    <xf numFmtId="166" fontId="14" fillId="0" borderId="0" xfId="0" applyNumberFormat="1" applyFont="1"/>
    <xf numFmtId="10" fontId="11" fillId="0" borderId="7" xfId="0" applyNumberFormat="1" applyFont="1" applyFill="1" applyBorder="1" applyAlignment="1">
      <alignment horizontal="center"/>
    </xf>
    <xf numFmtId="10" fontId="11" fillId="0" borderId="0" xfId="0" applyNumberFormat="1" applyFont="1" applyFill="1" applyBorder="1" applyAlignment="1">
      <alignment horizontal="center"/>
    </xf>
    <xf numFmtId="0" fontId="11" fillId="0" borderId="0" xfId="0" applyFont="1" applyFill="1" applyAlignment="1">
      <alignment horizontal="center"/>
    </xf>
    <xf numFmtId="10" fontId="11" fillId="0" borderId="6" xfId="0" applyNumberFormat="1" applyFont="1" applyFill="1" applyBorder="1" applyAlignment="1">
      <alignment horizontal="center"/>
    </xf>
    <xf numFmtId="2" fontId="14" fillId="0" borderId="0" xfId="0" applyNumberFormat="1" applyFont="1" applyAlignment="1">
      <alignment horizontal="center"/>
    </xf>
    <xf numFmtId="10" fontId="11" fillId="0" borderId="8" xfId="0" applyNumberFormat="1" applyFont="1" applyFill="1" applyBorder="1" applyAlignment="1">
      <alignment horizontal="center"/>
    </xf>
    <xf numFmtId="0" fontId="14" fillId="0" borderId="0" xfId="0" applyFont="1" applyAlignment="1">
      <alignment horizontal="center"/>
    </xf>
    <xf numFmtId="10" fontId="11" fillId="0" borderId="0" xfId="0" applyNumberFormat="1" applyFont="1" applyFill="1" applyBorder="1" applyAlignment="1">
      <alignment horizontal="left"/>
    </xf>
    <xf numFmtId="2" fontId="11" fillId="0" borderId="0" xfId="0" quotePrefix="1" applyNumberFormat="1" applyFont="1" applyFill="1" applyBorder="1" applyAlignment="1">
      <alignment horizontal="center"/>
    </xf>
    <xf numFmtId="168" fontId="14" fillId="0" borderId="0" xfId="0" applyNumberFormat="1" applyFont="1" applyAlignment="1">
      <alignment horizontal="center"/>
    </xf>
    <xf numFmtId="164" fontId="14" fillId="0" borderId="0" xfId="0" applyNumberFormat="1" applyFont="1"/>
    <xf numFmtId="0" fontId="11" fillId="0" borderId="0" xfId="0" applyFont="1" applyAlignment="1">
      <alignment horizontal="left"/>
    </xf>
    <xf numFmtId="167" fontId="14" fillId="0" borderId="0" xfId="0" applyNumberFormat="1" applyFont="1"/>
    <xf numFmtId="0" fontId="11" fillId="0" borderId="0" xfId="0" applyFont="1" applyFill="1"/>
    <xf numFmtId="165" fontId="14" fillId="0" borderId="0" xfId="0" applyNumberFormat="1" applyFont="1" applyAlignment="1">
      <alignment horizontal="center"/>
    </xf>
    <xf numFmtId="0" fontId="11" fillId="0" borderId="0" xfId="0" applyFont="1" applyFill="1" applyBorder="1"/>
    <xf numFmtId="0" fontId="14" fillId="0" borderId="0" xfId="0" applyFont="1" applyFill="1" applyBorder="1"/>
    <xf numFmtId="2" fontId="14" fillId="0" borderId="0" xfId="0" applyNumberFormat="1" applyFont="1" applyFill="1" applyAlignment="1">
      <alignment horizontal="center"/>
    </xf>
    <xf numFmtId="1" fontId="14" fillId="0" borderId="0" xfId="0" applyNumberFormat="1" applyFont="1" applyFill="1" applyAlignment="1">
      <alignment horizontal="center"/>
    </xf>
    <xf numFmtId="1" fontId="11" fillId="0" borderId="0" xfId="0" applyNumberFormat="1" applyFont="1"/>
    <xf numFmtId="0" fontId="14" fillId="0" borderId="0" xfId="0" applyFont="1" applyFill="1"/>
    <xf numFmtId="1" fontId="14" fillId="0" borderId="0" xfId="0" applyNumberFormat="1" applyFont="1" applyFill="1"/>
    <xf numFmtId="9" fontId="14" fillId="0" borderId="0" xfId="0" applyNumberFormat="1" applyFont="1" applyFill="1"/>
    <xf numFmtId="9" fontId="12" fillId="0" borderId="0" xfId="0" applyNumberFormat="1" applyFont="1" applyFill="1" applyBorder="1" applyAlignment="1">
      <alignment horizontal="center"/>
    </xf>
    <xf numFmtId="2" fontId="15" fillId="0" borderId="0" xfId="0" applyNumberFormat="1" applyFont="1" applyFill="1" applyBorder="1" applyAlignment="1">
      <alignment horizontal="center"/>
    </xf>
    <xf numFmtId="2" fontId="16" fillId="0" borderId="0" xfId="0" applyNumberFormat="1" applyFont="1" applyFill="1" applyBorder="1" applyAlignment="1">
      <alignment horizontal="center"/>
    </xf>
    <xf numFmtId="1" fontId="15" fillId="0" borderId="0" xfId="0" applyNumberFormat="1" applyFont="1" applyFill="1" applyBorder="1" applyAlignment="1">
      <alignment horizontal="center"/>
    </xf>
    <xf numFmtId="0" fontId="13" fillId="0" borderId="0" xfId="0" applyFont="1" applyBorder="1"/>
    <xf numFmtId="2" fontId="17" fillId="0" borderId="0" xfId="0" applyNumberFormat="1" applyFont="1" applyAlignment="1">
      <alignment horizontal="center"/>
    </xf>
    <xf numFmtId="2" fontId="13" fillId="0" borderId="0" xfId="0" applyNumberFormat="1" applyFont="1"/>
    <xf numFmtId="1" fontId="16" fillId="0" borderId="0" xfId="0" applyNumberFormat="1" applyFont="1" applyFill="1" applyBorder="1" applyAlignment="1">
      <alignment horizontal="center"/>
    </xf>
    <xf numFmtId="1" fontId="14" fillId="0" borderId="0" xfId="0" applyNumberFormat="1" applyFont="1" applyFill="1" applyBorder="1" applyAlignment="1">
      <alignment horizontal="center"/>
    </xf>
    <xf numFmtId="2" fontId="14" fillId="0" borderId="0" xfId="0" applyNumberFormat="1" applyFont="1" applyFill="1" applyBorder="1" applyAlignment="1">
      <alignment horizontal="center"/>
    </xf>
    <xf numFmtId="1" fontId="17" fillId="0" borderId="0" xfId="0" applyNumberFormat="1" applyFont="1"/>
    <xf numFmtId="1" fontId="17" fillId="0" borderId="0" xfId="0" applyNumberFormat="1" applyFont="1" applyAlignment="1">
      <alignment horizontal="center"/>
    </xf>
    <xf numFmtId="165" fontId="17" fillId="0" borderId="0" xfId="0" applyNumberFormat="1" applyFont="1" applyAlignment="1">
      <alignment horizontal="center"/>
    </xf>
    <xf numFmtId="166" fontId="15" fillId="0" borderId="0" xfId="0" applyNumberFormat="1" applyFont="1" applyFill="1" applyBorder="1" applyAlignment="1">
      <alignment horizontal="center"/>
    </xf>
    <xf numFmtId="10" fontId="17" fillId="0" borderId="0" xfId="0" applyNumberFormat="1" applyFont="1"/>
    <xf numFmtId="0" fontId="14" fillId="0" borderId="0" xfId="0" applyNumberFormat="1" applyFont="1" applyAlignment="1">
      <alignment wrapText="1"/>
    </xf>
    <xf numFmtId="0" fontId="14" fillId="0" borderId="0" xfId="0" applyFont="1" applyBorder="1"/>
    <xf numFmtId="1" fontId="14" fillId="0" borderId="0" xfId="0" applyNumberFormat="1" applyFont="1" applyBorder="1"/>
    <xf numFmtId="2" fontId="14" fillId="0" borderId="0" xfId="0" applyNumberFormat="1" applyFont="1" applyBorder="1"/>
    <xf numFmtId="10" fontId="14" fillId="0" borderId="0" xfId="0" applyNumberFormat="1" applyFont="1" applyBorder="1"/>
    <xf numFmtId="9" fontId="14" fillId="0" borderId="0" xfId="0" applyNumberFormat="1" applyFont="1" applyBorder="1"/>
    <xf numFmtId="0" fontId="11" fillId="0" borderId="0" xfId="0" applyFont="1" applyBorder="1" applyAlignment="1">
      <alignment horizontal="center"/>
    </xf>
    <xf numFmtId="0" fontId="14" fillId="0" borderId="0" xfId="0" applyFont="1" applyBorder="1" applyAlignment="1">
      <alignment horizontal="center"/>
    </xf>
    <xf numFmtId="2" fontId="14" fillId="0" borderId="0" xfId="0" applyNumberFormat="1" applyFont="1" applyBorder="1" applyAlignment="1">
      <alignment horizontal="center"/>
    </xf>
    <xf numFmtId="1" fontId="14" fillId="0" borderId="0" xfId="0" applyNumberFormat="1" applyFont="1" applyBorder="1" applyAlignment="1">
      <alignment horizontal="center"/>
    </xf>
    <xf numFmtId="10" fontId="11" fillId="0" borderId="0" xfId="0" applyNumberFormat="1" applyFont="1"/>
    <xf numFmtId="2" fontId="11" fillId="0" borderId="0" xfId="0" applyNumberFormat="1" applyFont="1" applyFill="1" applyAlignment="1">
      <alignment horizontal="center"/>
    </xf>
    <xf numFmtId="166" fontId="14" fillId="0" borderId="0" xfId="0" applyNumberFormat="1" applyFont="1" applyBorder="1"/>
    <xf numFmtId="0" fontId="14" fillId="0" borderId="11" xfId="0" applyFont="1" applyBorder="1"/>
    <xf numFmtId="0" fontId="14" fillId="0" borderId="9" xfId="0" applyFont="1" applyBorder="1"/>
    <xf numFmtId="0" fontId="14" fillId="0" borderId="10" xfId="0" applyFont="1" applyBorder="1"/>
    <xf numFmtId="0" fontId="14" fillId="0" borderId="25" xfId="0" applyFont="1" applyBorder="1"/>
    <xf numFmtId="0" fontId="14" fillId="0" borderId="12" xfId="0" applyFont="1" applyBorder="1"/>
    <xf numFmtId="0" fontId="14" fillId="0" borderId="13" xfId="0" applyFont="1" applyBorder="1"/>
    <xf numFmtId="0" fontId="14" fillId="0" borderId="14" xfId="0" applyFont="1" applyBorder="1"/>
    <xf numFmtId="0" fontId="14" fillId="0" borderId="15" xfId="0" applyFont="1" applyFill="1" applyBorder="1"/>
    <xf numFmtId="0" fontId="14" fillId="0" borderId="16" xfId="0" applyFont="1" applyFill="1" applyBorder="1" applyAlignment="1">
      <alignment horizontal="center"/>
    </xf>
    <xf numFmtId="0" fontId="14" fillId="0" borderId="17" xfId="0" applyFont="1" applyFill="1" applyBorder="1"/>
    <xf numFmtId="0" fontId="14" fillId="0" borderId="18" xfId="0" applyFont="1" applyFill="1" applyBorder="1"/>
    <xf numFmtId="0" fontId="14" fillId="0" borderId="0" xfId="0" applyFont="1" applyFill="1" applyBorder="1" applyAlignment="1">
      <alignment horizontal="center"/>
    </xf>
    <xf numFmtId="0" fontId="14" fillId="0" borderId="19" xfId="0" applyFont="1" applyFill="1" applyBorder="1" applyAlignment="1">
      <alignment horizontal="center"/>
    </xf>
    <xf numFmtId="0" fontId="14" fillId="0" borderId="20" xfId="0" applyFont="1" applyFill="1" applyBorder="1"/>
    <xf numFmtId="0" fontId="14" fillId="0" borderId="0" xfId="0" applyFont="1" applyFill="1" applyAlignment="1">
      <alignment horizontal="center"/>
    </xf>
    <xf numFmtId="166" fontId="14" fillId="0" borderId="0" xfId="0" applyNumberFormat="1" applyFont="1" applyFill="1" applyAlignment="1">
      <alignment horizontal="center"/>
    </xf>
    <xf numFmtId="165" fontId="14" fillId="0" borderId="0" xfId="0" applyNumberFormat="1" applyFont="1" applyFill="1" applyAlignment="1">
      <alignment horizontal="center"/>
    </xf>
    <xf numFmtId="2" fontId="14" fillId="0" borderId="0" xfId="0" applyNumberFormat="1" applyFont="1" applyFill="1" applyBorder="1"/>
    <xf numFmtId="0" fontId="12" fillId="0" borderId="9" xfId="0" applyFont="1" applyBorder="1"/>
    <xf numFmtId="0" fontId="13" fillId="0" borderId="9" xfId="0" applyFont="1" applyBorder="1" applyAlignment="1">
      <alignment horizontal="left"/>
    </xf>
    <xf numFmtId="0" fontId="14" fillId="0" borderId="24" xfId="0" applyFont="1" applyFill="1" applyBorder="1" applyAlignment="1">
      <alignment horizontal="left"/>
    </xf>
    <xf numFmtId="9" fontId="11" fillId="0" borderId="25" xfId="0" applyNumberFormat="1" applyFont="1" applyFill="1" applyBorder="1" applyAlignment="1">
      <alignment horizontal="left"/>
    </xf>
    <xf numFmtId="10" fontId="11" fillId="0" borderId="0" xfId="0" applyNumberFormat="1" applyFont="1" applyAlignment="1">
      <alignment horizontal="center"/>
    </xf>
    <xf numFmtId="170" fontId="11" fillId="0" borderId="0" xfId="0" applyNumberFormat="1" applyFont="1"/>
    <xf numFmtId="2" fontId="11" fillId="0" borderId="0" xfId="0" applyNumberFormat="1" applyFont="1"/>
    <xf numFmtId="0" fontId="11" fillId="0" borderId="0" xfId="0" applyFont="1" applyBorder="1"/>
    <xf numFmtId="9" fontId="11" fillId="0" borderId="0" xfId="0" applyNumberFormat="1" applyFont="1" applyFill="1"/>
    <xf numFmtId="0" fontId="11" fillId="0" borderId="10" xfId="0" applyFont="1" applyBorder="1"/>
    <xf numFmtId="0" fontId="11" fillId="0" borderId="24" xfId="0" applyFont="1" applyBorder="1"/>
    <xf numFmtId="0" fontId="11" fillId="0" borderId="11" xfId="0" applyFont="1" applyBorder="1"/>
    <xf numFmtId="0" fontId="11" fillId="0" borderId="25" xfId="0" applyFont="1" applyBorder="1"/>
    <xf numFmtId="1" fontId="11" fillId="0" borderId="0" xfId="0" applyNumberFormat="1" applyFont="1" applyBorder="1"/>
    <xf numFmtId="0" fontId="11" fillId="0" borderId="12" xfId="0" applyFont="1" applyBorder="1"/>
    <xf numFmtId="0" fontId="11" fillId="0" borderId="13" xfId="0" applyFont="1" applyBorder="1"/>
    <xf numFmtId="0" fontId="11" fillId="0" borderId="14" xfId="0" applyFont="1" applyBorder="1"/>
    <xf numFmtId="0" fontId="11" fillId="0" borderId="11" xfId="0" applyFont="1" applyBorder="1" applyAlignment="1">
      <alignment horizontal="left"/>
    </xf>
    <xf numFmtId="0" fontId="11" fillId="0" borderId="25" xfId="0" applyFont="1" applyBorder="1" applyAlignment="1">
      <alignment horizontal="left"/>
    </xf>
    <xf numFmtId="0" fontId="11" fillId="0" borderId="11" xfId="0" applyFont="1" applyFill="1" applyBorder="1" applyAlignment="1">
      <alignment horizontal="left"/>
    </xf>
    <xf numFmtId="0" fontId="11" fillId="0" borderId="25" xfId="0" applyFont="1" applyFill="1" applyBorder="1" applyAlignment="1">
      <alignment horizontal="left"/>
    </xf>
    <xf numFmtId="2" fontId="11" fillId="0" borderId="25" xfId="0" applyNumberFormat="1" applyFont="1" applyBorder="1" applyAlignment="1">
      <alignment horizontal="left"/>
    </xf>
    <xf numFmtId="0" fontId="11" fillId="0" borderId="12" xfId="0" applyFont="1" applyFill="1" applyBorder="1" applyAlignment="1">
      <alignment horizontal="left"/>
    </xf>
    <xf numFmtId="0" fontId="11" fillId="0" borderId="14" xfId="0" applyFont="1" applyFill="1" applyBorder="1" applyAlignment="1">
      <alignment horizontal="left"/>
    </xf>
    <xf numFmtId="0" fontId="14" fillId="0" borderId="10" xfId="0" applyFont="1" applyBorder="1" applyAlignment="1">
      <alignment horizontal="left"/>
    </xf>
    <xf numFmtId="0" fontId="14" fillId="0" borderId="24" xfId="0" applyFont="1" applyBorder="1" applyAlignment="1">
      <alignment horizontal="left"/>
    </xf>
    <xf numFmtId="0" fontId="14" fillId="0" borderId="11" xfId="0" applyFont="1" applyBorder="1" applyAlignment="1">
      <alignment horizontal="left"/>
    </xf>
    <xf numFmtId="0" fontId="14" fillId="0" borderId="0" xfId="0" applyFont="1" applyBorder="1" applyAlignment="1">
      <alignment horizontal="left"/>
    </xf>
    <xf numFmtId="9" fontId="14" fillId="0" borderId="25" xfId="0" applyNumberFormat="1" applyFont="1" applyBorder="1" applyAlignment="1">
      <alignment horizontal="left"/>
    </xf>
    <xf numFmtId="9" fontId="14" fillId="0" borderId="14" xfId="0" applyNumberFormat="1" applyFont="1" applyBorder="1" applyAlignment="1">
      <alignment horizontal="left"/>
    </xf>
    <xf numFmtId="9" fontId="11" fillId="0" borderId="0" xfId="0" applyNumberFormat="1" applyFont="1" applyFill="1" applyAlignment="1">
      <alignment horizontal="center"/>
    </xf>
    <xf numFmtId="0" fontId="13" fillId="0" borderId="9" xfId="0" applyFont="1" applyFill="1" applyBorder="1" applyAlignment="1">
      <alignment horizontal="left"/>
    </xf>
    <xf numFmtId="0" fontId="14" fillId="0" borderId="24" xfId="0" applyFont="1" applyBorder="1"/>
    <xf numFmtId="2" fontId="11" fillId="0" borderId="7" xfId="0" applyNumberFormat="1" applyFont="1" applyFill="1" applyBorder="1" applyAlignment="1">
      <alignment horizontal="center"/>
    </xf>
    <xf numFmtId="169" fontId="11" fillId="0" borderId="0" xfId="0" applyNumberFormat="1" applyFont="1"/>
    <xf numFmtId="0" fontId="13" fillId="0" borderId="9" xfId="0" applyFont="1" applyBorder="1"/>
    <xf numFmtId="2" fontId="13" fillId="0" borderId="0" xfId="0" applyNumberFormat="1" applyFont="1" applyFill="1" applyBorder="1" applyAlignment="1">
      <alignment horizontal="center"/>
    </xf>
    <xf numFmtId="1" fontId="13" fillId="0" borderId="0" xfId="0" applyNumberFormat="1" applyFont="1" applyFill="1" applyBorder="1" applyAlignment="1">
      <alignment horizontal="center"/>
    </xf>
    <xf numFmtId="10" fontId="13" fillId="0" borderId="0" xfId="0" applyNumberFormat="1" applyFont="1" applyFill="1" applyBorder="1" applyAlignment="1">
      <alignment horizontal="center"/>
    </xf>
    <xf numFmtId="0" fontId="13" fillId="0" borderId="0" xfId="0" applyFont="1" applyBorder="1" applyAlignment="1">
      <alignment horizontal="center"/>
    </xf>
    <xf numFmtId="2" fontId="17" fillId="0" borderId="0" xfId="0" applyNumberFormat="1" applyFont="1" applyBorder="1"/>
    <xf numFmtId="2" fontId="17" fillId="0" borderId="25" xfId="0" applyNumberFormat="1" applyFont="1" applyBorder="1"/>
    <xf numFmtId="1" fontId="15" fillId="0" borderId="0" xfId="0" applyNumberFormat="1" applyFont="1" applyBorder="1"/>
    <xf numFmtId="2" fontId="14" fillId="0" borderId="10" xfId="0" applyNumberFormat="1" applyFont="1" applyBorder="1"/>
    <xf numFmtId="166" fontId="17" fillId="0" borderId="0" xfId="0" applyNumberFormat="1" applyFont="1" applyBorder="1"/>
    <xf numFmtId="1" fontId="17" fillId="0" borderId="0" xfId="0" applyNumberFormat="1" applyFont="1" applyBorder="1"/>
    <xf numFmtId="2" fontId="13" fillId="0" borderId="25" xfId="0" applyNumberFormat="1" applyFont="1" applyBorder="1"/>
    <xf numFmtId="0" fontId="11" fillId="0" borderId="0" xfId="0" applyFont="1" applyBorder="1" applyAlignment="1">
      <alignment horizontal="left"/>
    </xf>
    <xf numFmtId="0" fontId="17" fillId="0" borderId="0" xfId="0" applyFont="1" applyBorder="1"/>
    <xf numFmtId="2" fontId="13" fillId="0" borderId="0" xfId="0" applyNumberFormat="1" applyFont="1" applyBorder="1"/>
    <xf numFmtId="2" fontId="14" fillId="0" borderId="25" xfId="0" applyNumberFormat="1" applyFont="1" applyBorder="1"/>
    <xf numFmtId="2" fontId="14" fillId="0" borderId="13" xfId="0" applyNumberFormat="1" applyFont="1" applyBorder="1"/>
    <xf numFmtId="2" fontId="14" fillId="0" borderId="14" xfId="0" applyNumberFormat="1" applyFont="1" applyBorder="1"/>
    <xf numFmtId="0" fontId="17" fillId="0" borderId="13" xfId="0" applyFont="1" applyBorder="1"/>
    <xf numFmtId="0" fontId="11" fillId="0" borderId="0" xfId="0" applyNumberFormat="1" applyFont="1"/>
    <xf numFmtId="0" fontId="14" fillId="0" borderId="0" xfId="0" applyNumberFormat="1" applyFont="1"/>
    <xf numFmtId="0" fontId="11" fillId="0" borderId="25" xfId="0" applyNumberFormat="1" applyFont="1" applyBorder="1"/>
    <xf numFmtId="0" fontId="14" fillId="0" borderId="25" xfId="0" applyNumberFormat="1" applyFont="1" applyBorder="1"/>
    <xf numFmtId="0" fontId="14" fillId="0" borderId="16" xfId="0" applyFont="1" applyFill="1" applyBorder="1"/>
    <xf numFmtId="0" fontId="14" fillId="0" borderId="19" xfId="0" applyFont="1" applyFill="1" applyBorder="1"/>
    <xf numFmtId="1" fontId="13" fillId="0" borderId="19" xfId="0" applyNumberFormat="1" applyFont="1" applyFill="1" applyBorder="1" applyAlignment="1">
      <alignment horizontal="center"/>
    </xf>
    <xf numFmtId="2" fontId="13" fillId="0" borderId="19" xfId="0" applyNumberFormat="1" applyFont="1" applyFill="1" applyBorder="1" applyAlignment="1">
      <alignment horizontal="center"/>
    </xf>
    <xf numFmtId="10" fontId="13" fillId="0" borderId="19" xfId="0" applyNumberFormat="1" applyFont="1" applyFill="1" applyBorder="1" applyAlignment="1">
      <alignment horizontal="center"/>
    </xf>
    <xf numFmtId="1" fontId="14" fillId="0" borderId="19" xfId="0" applyNumberFormat="1" applyFont="1" applyFill="1" applyBorder="1" applyAlignment="1">
      <alignment horizontal="center"/>
    </xf>
    <xf numFmtId="2" fontId="14" fillId="0" borderId="19" xfId="0" applyNumberFormat="1" applyFont="1" applyFill="1" applyBorder="1" applyAlignment="1">
      <alignment horizontal="center"/>
    </xf>
    <xf numFmtId="0" fontId="14" fillId="0" borderId="21" xfId="0" applyFont="1" applyFill="1" applyBorder="1"/>
    <xf numFmtId="2" fontId="13" fillId="0" borderId="21" xfId="0" applyNumberFormat="1" applyFont="1" applyFill="1" applyBorder="1" applyAlignment="1">
      <alignment horizontal="center"/>
    </xf>
    <xf numFmtId="2" fontId="13" fillId="0" borderId="22" xfId="0" applyNumberFormat="1" applyFont="1" applyFill="1" applyBorder="1" applyAlignment="1">
      <alignment horizontal="center"/>
    </xf>
    <xf numFmtId="0" fontId="18" fillId="0" borderId="0" xfId="0" applyFont="1" applyFill="1"/>
    <xf numFmtId="9" fontId="11" fillId="0" borderId="7" xfId="0" applyNumberFormat="1" applyFont="1" applyFill="1" applyBorder="1" applyAlignment="1">
      <alignment horizontal="center"/>
    </xf>
    <xf numFmtId="2" fontId="15" fillId="0" borderId="6" xfId="0" applyNumberFormat="1" applyFont="1" applyFill="1" applyBorder="1" applyAlignment="1">
      <alignment horizontal="center"/>
    </xf>
    <xf numFmtId="2" fontId="15" fillId="0" borderId="8" xfId="0" applyNumberFormat="1" applyFont="1" applyFill="1" applyBorder="1" applyAlignment="1">
      <alignment horizontal="center"/>
    </xf>
    <xf numFmtId="2" fontId="15" fillId="0" borderId="7" xfId="0" applyNumberFormat="1" applyFont="1" applyFill="1" applyBorder="1" applyAlignment="1">
      <alignment horizontal="center"/>
    </xf>
    <xf numFmtId="10" fontId="17" fillId="0" borderId="0" xfId="0" applyNumberFormat="1" applyFont="1" applyBorder="1"/>
    <xf numFmtId="2" fontId="11" fillId="0" borderId="6" xfId="0" applyNumberFormat="1" applyFont="1" applyFill="1" applyBorder="1" applyAlignment="1">
      <alignment horizontal="center"/>
    </xf>
    <xf numFmtId="2" fontId="11" fillId="0" borderId="8" xfId="0" applyNumberFormat="1" applyFont="1" applyFill="1" applyBorder="1" applyAlignment="1">
      <alignment horizontal="center"/>
    </xf>
    <xf numFmtId="0" fontId="11" fillId="0" borderId="6" xfId="0" applyFont="1" applyFill="1" applyBorder="1" applyAlignment="1">
      <alignment horizontal="center"/>
    </xf>
    <xf numFmtId="0" fontId="11" fillId="0" borderId="8" xfId="0" applyFont="1" applyFill="1" applyBorder="1" applyAlignment="1">
      <alignment horizontal="center"/>
    </xf>
    <xf numFmtId="0" fontId="11" fillId="0" borderId="7" xfId="0" applyFont="1" applyFill="1" applyBorder="1" applyAlignment="1">
      <alignment horizontal="center"/>
    </xf>
    <xf numFmtId="171" fontId="14" fillId="0" borderId="0" xfId="0" applyNumberFormat="1" applyFont="1"/>
    <xf numFmtId="0" fontId="13" fillId="0" borderId="25" xfId="0" applyFont="1" applyBorder="1"/>
    <xf numFmtId="0" fontId="11" fillId="0" borderId="13" xfId="0" applyFont="1" applyBorder="1" applyAlignment="1">
      <alignment horizontal="left"/>
    </xf>
    <xf numFmtId="10" fontId="11" fillId="0" borderId="23" xfId="0" applyNumberFormat="1" applyFont="1" applyFill="1" applyBorder="1" applyAlignment="1">
      <alignment horizontal="center"/>
    </xf>
    <xf numFmtId="2" fontId="15" fillId="0" borderId="24" xfId="0" applyNumberFormat="1" applyFont="1" applyFill="1" applyBorder="1" applyAlignment="1">
      <alignment horizontal="center"/>
    </xf>
    <xf numFmtId="10" fontId="11" fillId="0" borderId="11" xfId="0" applyNumberFormat="1" applyFont="1" applyFill="1" applyBorder="1" applyAlignment="1">
      <alignment horizontal="center"/>
    </xf>
    <xf numFmtId="0" fontId="12" fillId="0" borderId="0" xfId="0" applyFont="1" applyFill="1" applyBorder="1" applyAlignment="1">
      <alignment horizontal="center"/>
    </xf>
    <xf numFmtId="0" fontId="11" fillId="0" borderId="0" xfId="0" applyFont="1" applyFill="1" applyBorder="1" applyAlignment="1">
      <alignment horizontal="center"/>
    </xf>
    <xf numFmtId="0" fontId="11" fillId="0" borderId="0" xfId="0" applyFont="1" applyFill="1" applyBorder="1" applyAlignment="1">
      <alignment horizontal="center"/>
    </xf>
    <xf numFmtId="0" fontId="0" fillId="0" borderId="0" xfId="0" applyFill="1"/>
    <xf numFmtId="9" fontId="16" fillId="0" borderId="0" xfId="0" applyNumberFormat="1" applyFont="1" applyFill="1" applyBorder="1" applyAlignment="1">
      <alignment horizontal="center"/>
    </xf>
    <xf numFmtId="0" fontId="12" fillId="0" borderId="0" xfId="0" applyFont="1" applyFill="1" applyBorder="1" applyAlignment="1">
      <alignment horizontal="center"/>
    </xf>
    <xf numFmtId="0" fontId="11" fillId="0" borderId="0" xfId="0" applyFont="1" applyFill="1" applyBorder="1" applyAlignment="1">
      <alignment horizontal="center"/>
    </xf>
    <xf numFmtId="0" fontId="12" fillId="0" borderId="0" xfId="0" applyFont="1" applyFill="1" applyBorder="1" applyAlignment="1">
      <alignment horizontal="center"/>
    </xf>
    <xf numFmtId="0" fontId="14" fillId="3" borderId="0" xfId="0" applyFont="1" applyFill="1"/>
    <xf numFmtId="0" fontId="11" fillId="3" borderId="0" xfId="0" applyFont="1" applyFill="1" applyBorder="1" applyAlignment="1">
      <alignment horizontal="center"/>
    </xf>
    <xf numFmtId="2" fontId="11" fillId="3" borderId="0" xfId="0" applyNumberFormat="1" applyFont="1" applyFill="1" applyBorder="1" applyAlignment="1">
      <alignment horizontal="center"/>
    </xf>
    <xf numFmtId="2" fontId="14" fillId="3" borderId="0" xfId="0" applyNumberFormat="1" applyFont="1" applyFill="1"/>
    <xf numFmtId="1" fontId="14" fillId="3" borderId="0" xfId="0" applyNumberFormat="1" applyFont="1" applyFill="1"/>
    <xf numFmtId="2" fontId="14" fillId="3" borderId="0" xfId="0" applyNumberFormat="1" applyFont="1" applyFill="1" applyBorder="1"/>
    <xf numFmtId="1" fontId="11" fillId="3" borderId="0" xfId="0" applyNumberFormat="1" applyFont="1" applyFill="1" applyBorder="1" applyAlignment="1">
      <alignment horizontal="center"/>
    </xf>
    <xf numFmtId="166" fontId="14" fillId="3" borderId="0" xfId="0" applyNumberFormat="1" applyFont="1" applyFill="1"/>
    <xf numFmtId="1" fontId="15" fillId="3" borderId="0" xfId="0" applyNumberFormat="1" applyFont="1" applyFill="1" applyBorder="1" applyAlignment="1">
      <alignment horizontal="center"/>
    </xf>
    <xf numFmtId="0" fontId="14" fillId="3" borderId="0" xfId="0" applyFont="1" applyFill="1" applyBorder="1"/>
    <xf numFmtId="1" fontId="13" fillId="0" borderId="0" xfId="0" applyNumberFormat="1" applyFont="1"/>
    <xf numFmtId="10" fontId="13" fillId="0" borderId="0" xfId="0" applyNumberFormat="1" applyFont="1"/>
    <xf numFmtId="0" fontId="11" fillId="0" borderId="9" xfId="0" applyFont="1" applyBorder="1"/>
    <xf numFmtId="1" fontId="11" fillId="0" borderId="10" xfId="0" applyNumberFormat="1" applyFont="1" applyBorder="1"/>
    <xf numFmtId="0" fontId="13" fillId="0" borderId="11" xfId="0" applyFont="1" applyBorder="1"/>
    <xf numFmtId="9" fontId="11" fillId="0" borderId="25" xfId="0" applyNumberFormat="1" applyFont="1" applyBorder="1"/>
    <xf numFmtId="1" fontId="11" fillId="0" borderId="25" xfId="0" applyNumberFormat="1" applyFont="1" applyBorder="1"/>
    <xf numFmtId="9" fontId="14" fillId="0" borderId="25" xfId="0" applyNumberFormat="1" applyFont="1" applyBorder="1"/>
    <xf numFmtId="9" fontId="14" fillId="0" borderId="14" xfId="0" applyNumberFormat="1" applyFont="1" applyBorder="1"/>
    <xf numFmtId="165" fontId="14" fillId="0" borderId="0" xfId="0" applyNumberFormat="1" applyFont="1"/>
    <xf numFmtId="171" fontId="14" fillId="0" borderId="0" xfId="0" applyNumberFormat="1" applyFont="1" applyAlignment="1">
      <alignment horizontal="center"/>
    </xf>
    <xf numFmtId="1" fontId="14" fillId="0" borderId="21" xfId="0" applyNumberFormat="1" applyFont="1" applyFill="1" applyBorder="1" applyAlignment="1">
      <alignment horizontal="center"/>
    </xf>
    <xf numFmtId="2" fontId="14" fillId="0" borderId="22" xfId="0" applyNumberFormat="1" applyFont="1" applyFill="1" applyBorder="1" applyAlignment="1">
      <alignment horizontal="center"/>
    </xf>
    <xf numFmtId="172" fontId="11" fillId="0" borderId="0" xfId="0" applyNumberFormat="1" applyFont="1" applyFill="1" applyBorder="1" applyAlignment="1">
      <alignment horizontal="center"/>
    </xf>
    <xf numFmtId="1" fontId="11" fillId="0" borderId="0" xfId="0" applyNumberFormat="1" applyFont="1" applyFill="1" applyBorder="1"/>
    <xf numFmtId="2" fontId="11" fillId="0" borderId="0" xfId="0" applyNumberFormat="1" applyFont="1" applyFill="1" applyBorder="1"/>
    <xf numFmtId="0" fontId="14" fillId="0" borderId="13" xfId="0" applyFont="1" applyBorder="1" applyAlignment="1">
      <alignment horizontal="center"/>
    </xf>
    <xf numFmtId="0" fontId="11" fillId="0" borderId="25" xfId="0" applyFont="1" applyFill="1" applyBorder="1"/>
    <xf numFmtId="1" fontId="11" fillId="0" borderId="25" xfId="0" applyNumberFormat="1" applyFont="1" applyFill="1" applyBorder="1"/>
    <xf numFmtId="165" fontId="11" fillId="0" borderId="0" xfId="0" applyNumberFormat="1" applyFont="1" applyFill="1" applyBorder="1" applyAlignment="1">
      <alignment horizontal="center"/>
    </xf>
    <xf numFmtId="173" fontId="14" fillId="0" borderId="0" xfId="0" applyNumberFormat="1" applyFont="1"/>
    <xf numFmtId="166" fontId="13" fillId="0" borderId="0" xfId="0" applyNumberFormat="1" applyFont="1"/>
    <xf numFmtId="0" fontId="11" fillId="0" borderId="0" xfId="0" applyFont="1" applyFill="1" applyBorder="1" applyAlignment="1">
      <alignment horizontal="left"/>
    </xf>
    <xf numFmtId="174" fontId="14" fillId="0" borderId="0" xfId="0" applyNumberFormat="1" applyFont="1"/>
    <xf numFmtId="166" fontId="13" fillId="0" borderId="0" xfId="0" applyNumberFormat="1" applyFont="1" applyAlignment="1">
      <alignment horizontal="center"/>
    </xf>
    <xf numFmtId="167" fontId="13" fillId="0" borderId="0" xfId="0" applyNumberFormat="1" applyFont="1" applyFill="1" applyBorder="1" applyAlignment="1">
      <alignment horizontal="center"/>
    </xf>
    <xf numFmtId="167" fontId="13" fillId="0" borderId="19" xfId="0" applyNumberFormat="1" applyFont="1" applyFill="1" applyBorder="1" applyAlignment="1">
      <alignment horizontal="center"/>
    </xf>
    <xf numFmtId="175" fontId="11" fillId="0" borderId="0" xfId="0" applyNumberFormat="1" applyFont="1" applyFill="1" applyBorder="1" applyAlignment="1">
      <alignment horizontal="center"/>
    </xf>
    <xf numFmtId="0" fontId="21" fillId="0" borderId="0" xfId="0" applyFont="1" applyBorder="1"/>
    <xf numFmtId="0" fontId="14" fillId="0" borderId="0" xfId="0" applyFont="1" applyAlignment="1">
      <alignment horizontal="right"/>
    </xf>
    <xf numFmtId="0" fontId="22" fillId="0" borderId="0" xfId="0" applyFont="1" applyBorder="1"/>
    <xf numFmtId="1" fontId="15" fillId="0" borderId="13" xfId="0" applyNumberFormat="1" applyFont="1" applyBorder="1"/>
    <xf numFmtId="1" fontId="14" fillId="0" borderId="13" xfId="0" applyNumberFormat="1" applyFont="1" applyBorder="1"/>
  </cellXfs>
  <cellStyles count="12">
    <cellStyle name="H1" xfId="1"/>
    <cellStyle name="H2" xfId="2"/>
    <cellStyle name="H3" xfId="3"/>
    <cellStyle name="H4" xfId="4"/>
    <cellStyle name="Input calculation" xfId="5"/>
    <cellStyle name="input calculations" xfId="6"/>
    <cellStyle name="input data" xfId="7"/>
    <cellStyle name="input estimate" xfId="8"/>
    <cellStyle name="Input parameter" xfId="9"/>
    <cellStyle name="name" xfId="10"/>
    <cellStyle name="Normal" xfId="0" builtinId="0"/>
    <cellStyle name="Normal 2" xfId="1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ikekats/Documents/My%20Space/Aalto%20University/My%20Research/TE%20model2/MY%20EXCEL/MODEL/historic%20model/Historic%20Mode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ikekats/Documents/MATLAB/TE.1.3%20-%20Cop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rket"/>
      <sheetName val="Macro rollout"/>
      <sheetName val="roll-out graph"/>
      <sheetName val="Spectrum"/>
      <sheetName val="Network design"/>
      <sheetName val="Supply"/>
      <sheetName val="Demand"/>
      <sheetName val="Demand - Supply"/>
      <sheetName val="Network equipment"/>
      <sheetName val="CAPEX"/>
      <sheetName val="Power model"/>
      <sheetName val="OPEX"/>
      <sheetName val="snapshot calc"/>
      <sheetName val="Production function"/>
      <sheetName val="Short-run Cost"/>
      <sheetName val="charts"/>
      <sheetName val="capacity check"/>
      <sheetName val="Spectrum &amp; Networks"/>
      <sheetName val="Municipalities &amp; Areas"/>
      <sheetName val="lists_tables"/>
      <sheetName val="ErlangB"/>
    </sheetNames>
    <sheetDataSet>
      <sheetData sheetId="0">
        <row r="8">
          <cell r="E8">
            <v>5247664.047141416</v>
          </cell>
          <cell r="F8">
            <v>5255580</v>
          </cell>
          <cell r="G8">
            <v>5266998.2018196676</v>
          </cell>
          <cell r="H8">
            <v>5276955</v>
          </cell>
          <cell r="I8">
            <v>5288314.2225656882</v>
          </cell>
          <cell r="J8">
            <v>5300484</v>
          </cell>
          <cell r="K8">
            <v>5311554.1615265515</v>
          </cell>
          <cell r="L8">
            <v>5326314</v>
          </cell>
          <cell r="M8">
            <v>5336540.2198428912</v>
          </cell>
          <cell r="N8">
            <v>5352208</v>
          </cell>
          <cell r="O8">
            <v>5362965.499811423</v>
          </cell>
          <cell r="P8">
            <v>5378165</v>
          </cell>
          <cell r="Q8">
            <v>5390384.7570474669</v>
          </cell>
          <cell r="R8">
            <v>5404240</v>
          </cell>
          <cell r="S8">
            <v>5418205.152647472</v>
          </cell>
          <cell r="T8">
            <v>5430392</v>
          </cell>
          <cell r="U8">
            <v>5445677.0053515323</v>
          </cell>
          <cell r="V8">
            <v>5456561</v>
          </cell>
          <cell r="W8">
            <v>5471884.5437059142</v>
          </cell>
          <cell r="X8">
            <v>5482662</v>
          </cell>
          <cell r="Y8">
            <v>5495736.6582255764</v>
          </cell>
          <cell r="Z8">
            <v>5508728</v>
          </cell>
        </row>
        <row r="228">
          <cell r="E228">
            <v>1885066</v>
          </cell>
          <cell r="F228">
            <v>1962102</v>
          </cell>
          <cell r="G228">
            <v>2060385</v>
          </cell>
          <cell r="H228">
            <v>2194400</v>
          </cell>
          <cell r="I228">
            <v>2257300</v>
          </cell>
          <cell r="J228">
            <v>2334600</v>
          </cell>
          <cell r="K228">
            <v>2437900</v>
          </cell>
          <cell r="L228">
            <v>2541900</v>
          </cell>
          <cell r="M228">
            <v>2806600</v>
          </cell>
          <cell r="N228">
            <v>2970900</v>
          </cell>
          <cell r="O228">
            <v>3172200</v>
          </cell>
          <cell r="P228">
            <v>3358700</v>
          </cell>
          <cell r="Q228">
            <v>3528000</v>
          </cell>
          <cell r="R228">
            <v>3658500</v>
          </cell>
          <cell r="S228">
            <v>3658500</v>
          </cell>
          <cell r="T228">
            <v>3658500</v>
          </cell>
          <cell r="U228">
            <v>3658500</v>
          </cell>
          <cell r="V228">
            <v>3658500</v>
          </cell>
          <cell r="W228">
            <v>3658500</v>
          </cell>
          <cell r="X228">
            <v>3658500</v>
          </cell>
          <cell r="Y228">
            <v>3658500</v>
          </cell>
          <cell r="Z228">
            <v>3658500</v>
          </cell>
        </row>
        <row r="240">
          <cell r="E240">
            <v>1504</v>
          </cell>
          <cell r="F240">
            <v>2004</v>
          </cell>
          <cell r="G240">
            <v>2294</v>
          </cell>
          <cell r="H240">
            <v>2595</v>
          </cell>
          <cell r="I240">
            <v>2786</v>
          </cell>
          <cell r="J240">
            <v>2875</v>
          </cell>
          <cell r="K240">
            <v>3005</v>
          </cell>
          <cell r="L240">
            <v>3025</v>
          </cell>
          <cell r="M240">
            <v>3114</v>
          </cell>
          <cell r="N240">
            <v>3231</v>
          </cell>
          <cell r="O240">
            <v>3371</v>
          </cell>
          <cell r="P240">
            <v>3456</v>
          </cell>
          <cell r="Q240">
            <v>3507</v>
          </cell>
          <cell r="R240">
            <v>3544</v>
          </cell>
          <cell r="S240">
            <v>3544</v>
          </cell>
          <cell r="T240">
            <v>3544</v>
          </cell>
          <cell r="U240">
            <v>3544</v>
          </cell>
          <cell r="V240">
            <v>3544</v>
          </cell>
          <cell r="W240">
            <v>3544</v>
          </cell>
          <cell r="X240">
            <v>3544</v>
          </cell>
          <cell r="Y240">
            <v>3544</v>
          </cell>
          <cell r="Z240">
            <v>3544</v>
          </cell>
        </row>
        <row r="241">
          <cell r="E241">
            <v>778.05175098039217</v>
          </cell>
          <cell r="F241">
            <v>797.87183795066414</v>
          </cell>
          <cell r="G241">
            <v>831.84200373134331</v>
          </cell>
          <cell r="H241">
            <v>879.78284427556116</v>
          </cell>
          <cell r="I241">
            <v>912.06400634887768</v>
          </cell>
          <cell r="J241">
            <v>943.9258882915957</v>
          </cell>
          <cell r="K241">
            <v>926.73865506158791</v>
          </cell>
          <cell r="L241">
            <v>919.84057318083387</v>
          </cell>
          <cell r="M241">
            <v>931.38366713834762</v>
          </cell>
          <cell r="N241">
            <v>971.12158780271818</v>
          </cell>
          <cell r="O241">
            <v>968.8880769787296</v>
          </cell>
          <cell r="P241">
            <v>1004.4804048852786</v>
          </cell>
          <cell r="Q241">
            <v>998.59470331880652</v>
          </cell>
          <cell r="R241">
            <v>1027.6259741675296</v>
          </cell>
          <cell r="S241">
            <v>1027.6259741675296</v>
          </cell>
          <cell r="T241">
            <v>1027.6259741675296</v>
          </cell>
          <cell r="U241">
            <v>1027.6259741675296</v>
          </cell>
          <cell r="V241">
            <v>1027.6259741675296</v>
          </cell>
          <cell r="W241">
            <v>1027.6259741675296</v>
          </cell>
          <cell r="X241">
            <v>1027.6259741675296</v>
          </cell>
          <cell r="Y241">
            <v>1027.6259741675296</v>
          </cell>
          <cell r="Z241">
            <v>1027.6259741675296</v>
          </cell>
        </row>
        <row r="242">
          <cell r="E242">
            <v>115.98200233633837</v>
          </cell>
          <cell r="F242">
            <v>150.70089490667669</v>
          </cell>
          <cell r="G242">
            <v>165.46411383723901</v>
          </cell>
          <cell r="H242">
            <v>176.97549004630559</v>
          </cell>
          <cell r="I242">
            <v>183.27661089177866</v>
          </cell>
          <cell r="J242">
            <v>182.74739801045868</v>
          </cell>
          <cell r="K242">
            <v>194.55323139404157</v>
          </cell>
          <cell r="L242">
            <v>197.31680172833433</v>
          </cell>
          <cell r="M242">
            <v>200.60476320575933</v>
          </cell>
          <cell r="N242">
            <v>199.62484866455503</v>
          </cell>
          <cell r="O242">
            <v>208.75476208841849</v>
          </cell>
          <cell r="P242">
            <v>206.4350872266966</v>
          </cell>
          <cell r="Q242">
            <v>210.71611866223</v>
          </cell>
          <cell r="R242">
            <v>206.92353574680487</v>
          </cell>
          <cell r="S242">
            <v>206.92353574680487</v>
          </cell>
          <cell r="T242">
            <v>206.92353574680487</v>
          </cell>
          <cell r="U242">
            <v>206.92353574680487</v>
          </cell>
          <cell r="V242">
            <v>206.92353574680487</v>
          </cell>
          <cell r="W242">
            <v>206.92353574680487</v>
          </cell>
          <cell r="X242">
            <v>206.92353574680487</v>
          </cell>
          <cell r="Y242">
            <v>206.92353574680487</v>
          </cell>
          <cell r="Z242">
            <v>206.92353574680487</v>
          </cell>
        </row>
        <row r="244">
          <cell r="E244">
            <v>333</v>
          </cell>
          <cell r="F244">
            <v>494</v>
          </cell>
          <cell r="G244">
            <v>553</v>
          </cell>
          <cell r="H244">
            <v>639</v>
          </cell>
          <cell r="I244">
            <v>695</v>
          </cell>
          <cell r="J244">
            <v>789</v>
          </cell>
          <cell r="K244">
            <v>768</v>
          </cell>
          <cell r="L244">
            <v>837</v>
          </cell>
          <cell r="M244">
            <v>857</v>
          </cell>
          <cell r="N244">
            <v>870</v>
          </cell>
          <cell r="O244">
            <v>881</v>
          </cell>
          <cell r="P244">
            <v>976</v>
          </cell>
          <cell r="Q244">
            <v>976</v>
          </cell>
          <cell r="R244">
            <v>1046</v>
          </cell>
          <cell r="S244">
            <v>1046</v>
          </cell>
          <cell r="T244">
            <v>1046</v>
          </cell>
          <cell r="U244">
            <v>1046</v>
          </cell>
          <cell r="V244">
            <v>1046</v>
          </cell>
          <cell r="W244">
            <v>1046</v>
          </cell>
          <cell r="X244">
            <v>1046</v>
          </cell>
          <cell r="Y244">
            <v>1046</v>
          </cell>
          <cell r="Z244">
            <v>1046</v>
          </cell>
        </row>
        <row r="245">
          <cell r="E245">
            <v>1947.2077821011674</v>
          </cell>
          <cell r="F245">
            <v>3367.3641456582632</v>
          </cell>
          <cell r="G245">
            <v>3357.0933424845575</v>
          </cell>
          <cell r="H245">
            <v>5234.6945876288664</v>
          </cell>
          <cell r="I245">
            <v>5721.2508101101748</v>
          </cell>
          <cell r="J245">
            <v>7916.8595744680852</v>
          </cell>
          <cell r="K245">
            <v>8182.3309352517981</v>
          </cell>
          <cell r="L245">
            <v>8287.1287128712866</v>
          </cell>
          <cell r="M245">
            <v>9289.9728997289967</v>
          </cell>
          <cell r="N245">
            <v>8900.2557544757037</v>
          </cell>
          <cell r="O245">
            <v>9129.5336787564775</v>
          </cell>
          <cell r="P245">
            <v>9887.1201157742398</v>
          </cell>
          <cell r="Q245">
            <v>10854.494902687673</v>
          </cell>
          <cell r="R245">
            <v>11733.277939343581</v>
          </cell>
          <cell r="S245">
            <v>11733.277939343581</v>
          </cell>
          <cell r="T245">
            <v>11733.277939343581</v>
          </cell>
          <cell r="U245">
            <v>11733.277939343581</v>
          </cell>
          <cell r="V245">
            <v>11733.277939343581</v>
          </cell>
          <cell r="W245">
            <v>11733.277939343581</v>
          </cell>
          <cell r="X245">
            <v>11733.277939343581</v>
          </cell>
          <cell r="Y245">
            <v>11733.277939343581</v>
          </cell>
          <cell r="Z245">
            <v>11733.277939343581</v>
          </cell>
        </row>
        <row r="247">
          <cell r="E247">
            <v>7.0000000000000007E-2</v>
          </cell>
          <cell r="F247">
            <v>0.08</v>
          </cell>
          <cell r="G247">
            <v>0.09</v>
          </cell>
          <cell r="H247">
            <v>0.11</v>
          </cell>
          <cell r="I247">
            <v>0.13</v>
          </cell>
          <cell r="J247">
            <v>0.21</v>
          </cell>
          <cell r="K247">
            <v>0.23</v>
          </cell>
          <cell r="L247">
            <v>0.24890190336749601</v>
          </cell>
          <cell r="M247">
            <v>0.34340659340659302</v>
          </cell>
          <cell r="N247">
            <v>0.37662337662337703</v>
          </cell>
          <cell r="O247">
            <v>0.41</v>
          </cell>
          <cell r="P247">
            <v>0.46</v>
          </cell>
          <cell r="Q247">
            <v>0.48086560364464698</v>
          </cell>
          <cell r="R247">
            <v>0.52460850111856805</v>
          </cell>
          <cell r="S247">
            <v>0.52460850111856805</v>
          </cell>
          <cell r="T247">
            <v>0.52460850111856805</v>
          </cell>
          <cell r="U247">
            <v>0.52460850111856805</v>
          </cell>
          <cell r="V247">
            <v>0.52460850111856805</v>
          </cell>
          <cell r="W247">
            <v>0.52460850111856805</v>
          </cell>
          <cell r="X247">
            <v>0.52460850111856805</v>
          </cell>
          <cell r="Y247">
            <v>0.52460850111856805</v>
          </cell>
          <cell r="Z247">
            <v>0.52460850111856805</v>
          </cell>
        </row>
        <row r="248">
          <cell r="E248">
            <v>5.5443117647058822</v>
          </cell>
          <cell r="F248">
            <v>7.0739920303605324</v>
          </cell>
          <cell r="G248">
            <v>10.763205223880597</v>
          </cell>
          <cell r="H248">
            <v>28.252416225749556</v>
          </cell>
          <cell r="I248">
            <v>57.112409638554226</v>
          </cell>
          <cell r="J248">
            <v>141.68871710526315</v>
          </cell>
          <cell r="K248">
            <v>458.76500777604974</v>
          </cell>
          <cell r="L248">
            <v>1336.0792093704229</v>
          </cell>
          <cell r="M248">
            <v>2351.6840659340633</v>
          </cell>
          <cell r="N248">
            <v>3819.7285714285758</v>
          </cell>
          <cell r="O248">
            <v>5110.1115241635689</v>
          </cell>
          <cell r="P248">
            <v>8006.4362336114427</v>
          </cell>
          <cell r="Q248">
            <v>10738.299772209568</v>
          </cell>
          <cell r="R248">
            <v>14107.732550335564</v>
          </cell>
          <cell r="S248">
            <v>14107.732550335564</v>
          </cell>
          <cell r="T248">
            <v>14107.732550335564</v>
          </cell>
          <cell r="U248">
            <v>14107.732550335564</v>
          </cell>
          <cell r="V248">
            <v>14107.732550335564</v>
          </cell>
          <cell r="W248">
            <v>14107.732550335564</v>
          </cell>
          <cell r="X248">
            <v>14107.732550335564</v>
          </cell>
          <cell r="Y248">
            <v>14107.732550335564</v>
          </cell>
          <cell r="Z248">
            <v>14107.732550335564</v>
          </cell>
        </row>
      </sheetData>
      <sheetData sheetId="1"/>
      <sheetData sheetId="2"/>
      <sheetData sheetId="3"/>
      <sheetData sheetId="4">
        <row r="2879">
          <cell r="F2879">
            <v>0</v>
          </cell>
          <cell r="G2879">
            <v>0</v>
          </cell>
          <cell r="H2879">
            <v>0</v>
          </cell>
          <cell r="I2879">
            <v>0</v>
          </cell>
          <cell r="J2879">
            <v>0</v>
          </cell>
          <cell r="K2879">
            <v>0</v>
          </cell>
          <cell r="L2879">
            <v>0</v>
          </cell>
          <cell r="M2879">
            <v>0</v>
          </cell>
          <cell r="N2879">
            <v>0</v>
          </cell>
          <cell r="O2879">
            <v>0</v>
          </cell>
          <cell r="P2879">
            <v>0</v>
          </cell>
          <cell r="Q2879">
            <v>0</v>
          </cell>
          <cell r="R2879">
            <v>0</v>
          </cell>
          <cell r="S2879">
            <v>0</v>
          </cell>
          <cell r="T2879">
            <v>0</v>
          </cell>
          <cell r="U2879">
            <v>0</v>
          </cell>
          <cell r="V2879">
            <v>0</v>
          </cell>
          <cell r="W2879">
            <v>0</v>
          </cell>
          <cell r="X2879">
            <v>0</v>
          </cell>
          <cell r="Y2879">
            <v>0</v>
          </cell>
          <cell r="Z2879">
            <v>0</v>
          </cell>
          <cell r="AA2879">
            <v>0</v>
          </cell>
        </row>
        <row r="2880">
          <cell r="F2880">
            <v>0</v>
          </cell>
          <cell r="G2880">
            <v>0</v>
          </cell>
          <cell r="H2880">
            <v>0</v>
          </cell>
          <cell r="I2880">
            <v>0</v>
          </cell>
          <cell r="J2880">
            <v>0</v>
          </cell>
          <cell r="K2880">
            <v>0</v>
          </cell>
          <cell r="L2880">
            <v>0</v>
          </cell>
          <cell r="M2880">
            <v>0</v>
          </cell>
          <cell r="N2880">
            <v>0</v>
          </cell>
          <cell r="O2880">
            <v>0</v>
          </cell>
          <cell r="P2880">
            <v>0</v>
          </cell>
          <cell r="Q2880">
            <v>0</v>
          </cell>
          <cell r="R2880">
            <v>0</v>
          </cell>
          <cell r="S2880">
            <v>0</v>
          </cell>
          <cell r="T2880">
            <v>0</v>
          </cell>
          <cell r="U2880">
            <v>0</v>
          </cell>
          <cell r="V2880">
            <v>0</v>
          </cell>
          <cell r="W2880">
            <v>0</v>
          </cell>
          <cell r="X2880">
            <v>0</v>
          </cell>
          <cell r="Y2880">
            <v>0</v>
          </cell>
          <cell r="Z2880">
            <v>0</v>
          </cell>
          <cell r="AA2880">
            <v>0</v>
          </cell>
        </row>
        <row r="2881">
          <cell r="F2881">
            <v>0</v>
          </cell>
          <cell r="G2881">
            <v>0</v>
          </cell>
          <cell r="H2881">
            <v>0</v>
          </cell>
          <cell r="I2881">
            <v>0</v>
          </cell>
          <cell r="J2881">
            <v>0</v>
          </cell>
          <cell r="K2881">
            <v>0</v>
          </cell>
          <cell r="L2881">
            <v>0</v>
          </cell>
          <cell r="M2881">
            <v>0</v>
          </cell>
          <cell r="N2881">
            <v>0</v>
          </cell>
          <cell r="O2881">
            <v>0</v>
          </cell>
          <cell r="P2881">
            <v>0</v>
          </cell>
          <cell r="Q2881">
            <v>0</v>
          </cell>
          <cell r="R2881">
            <v>0</v>
          </cell>
          <cell r="S2881">
            <v>0</v>
          </cell>
          <cell r="T2881">
            <v>0</v>
          </cell>
          <cell r="U2881">
            <v>0</v>
          </cell>
          <cell r="V2881">
            <v>0</v>
          </cell>
          <cell r="W2881">
            <v>0</v>
          </cell>
          <cell r="X2881">
            <v>0</v>
          </cell>
          <cell r="Y2881">
            <v>0</v>
          </cell>
          <cell r="Z2881">
            <v>0</v>
          </cell>
          <cell r="AA2881">
            <v>0</v>
          </cell>
        </row>
        <row r="2882">
          <cell r="F2882">
            <v>0</v>
          </cell>
          <cell r="G2882">
            <v>0</v>
          </cell>
          <cell r="H2882">
            <v>0</v>
          </cell>
          <cell r="I2882">
            <v>0</v>
          </cell>
          <cell r="J2882">
            <v>0</v>
          </cell>
          <cell r="K2882">
            <v>0</v>
          </cell>
          <cell r="L2882">
            <v>0</v>
          </cell>
          <cell r="M2882">
            <v>0</v>
          </cell>
          <cell r="N2882">
            <v>0</v>
          </cell>
          <cell r="O2882">
            <v>0</v>
          </cell>
          <cell r="P2882">
            <v>0</v>
          </cell>
          <cell r="Q2882">
            <v>0</v>
          </cell>
          <cell r="R2882">
            <v>0</v>
          </cell>
          <cell r="S2882">
            <v>0</v>
          </cell>
          <cell r="T2882">
            <v>0</v>
          </cell>
          <cell r="U2882">
            <v>0</v>
          </cell>
          <cell r="V2882">
            <v>0</v>
          </cell>
          <cell r="W2882">
            <v>0</v>
          </cell>
          <cell r="X2882">
            <v>0</v>
          </cell>
          <cell r="Y2882">
            <v>0</v>
          </cell>
          <cell r="Z2882">
            <v>0</v>
          </cell>
          <cell r="AA2882">
            <v>0</v>
          </cell>
        </row>
        <row r="2883">
          <cell r="F2883">
            <v>0</v>
          </cell>
          <cell r="G2883">
            <v>0</v>
          </cell>
          <cell r="H2883">
            <v>0</v>
          </cell>
          <cell r="I2883">
            <v>0</v>
          </cell>
          <cell r="J2883">
            <v>0</v>
          </cell>
          <cell r="K2883">
            <v>0</v>
          </cell>
          <cell r="L2883">
            <v>0</v>
          </cell>
          <cell r="M2883">
            <v>0</v>
          </cell>
          <cell r="N2883">
            <v>0</v>
          </cell>
          <cell r="O2883">
            <v>0</v>
          </cell>
          <cell r="P2883">
            <v>0</v>
          </cell>
          <cell r="Q2883">
            <v>0</v>
          </cell>
          <cell r="R2883">
            <v>0</v>
          </cell>
          <cell r="S2883">
            <v>0</v>
          </cell>
          <cell r="T2883">
            <v>0</v>
          </cell>
          <cell r="U2883">
            <v>0</v>
          </cell>
          <cell r="V2883">
            <v>0</v>
          </cell>
          <cell r="W2883">
            <v>0</v>
          </cell>
          <cell r="X2883">
            <v>0</v>
          </cell>
          <cell r="Y2883">
            <v>0</v>
          </cell>
          <cell r="Z2883">
            <v>0</v>
          </cell>
          <cell r="AA2883">
            <v>0</v>
          </cell>
        </row>
        <row r="2884">
          <cell r="F2884">
            <v>0</v>
          </cell>
          <cell r="G2884">
            <v>0</v>
          </cell>
          <cell r="H2884">
            <v>0</v>
          </cell>
          <cell r="I2884">
            <v>0</v>
          </cell>
          <cell r="J2884">
            <v>0</v>
          </cell>
          <cell r="K2884">
            <v>0</v>
          </cell>
          <cell r="L2884">
            <v>0</v>
          </cell>
          <cell r="M2884">
            <v>0</v>
          </cell>
          <cell r="N2884">
            <v>0</v>
          </cell>
          <cell r="O2884">
            <v>0</v>
          </cell>
          <cell r="P2884">
            <v>0</v>
          </cell>
          <cell r="Q2884">
            <v>0</v>
          </cell>
          <cell r="R2884">
            <v>0</v>
          </cell>
          <cell r="S2884">
            <v>0</v>
          </cell>
          <cell r="T2884">
            <v>0</v>
          </cell>
          <cell r="U2884">
            <v>0</v>
          </cell>
          <cell r="V2884">
            <v>0</v>
          </cell>
          <cell r="W2884">
            <v>0</v>
          </cell>
          <cell r="X2884">
            <v>0</v>
          </cell>
          <cell r="Y2884">
            <v>0</v>
          </cell>
          <cell r="Z2884">
            <v>0</v>
          </cell>
          <cell r="AA2884">
            <v>0</v>
          </cell>
        </row>
        <row r="2951">
          <cell r="F2951">
            <v>450.27714211256227</v>
          </cell>
          <cell r="G2951">
            <v>588.68857889522508</v>
          </cell>
          <cell r="H2951">
            <v>0</v>
          </cell>
          <cell r="I2951">
            <v>0</v>
          </cell>
          <cell r="J2951">
            <v>0</v>
          </cell>
          <cell r="K2951">
            <v>0</v>
          </cell>
          <cell r="L2951">
            <v>0</v>
          </cell>
          <cell r="M2951">
            <v>0</v>
          </cell>
          <cell r="N2951">
            <v>0</v>
          </cell>
          <cell r="O2951">
            <v>0</v>
          </cell>
          <cell r="P2951">
            <v>0</v>
          </cell>
          <cell r="Q2951">
            <v>0</v>
          </cell>
          <cell r="R2951">
            <v>0</v>
          </cell>
          <cell r="S2951">
            <v>0</v>
          </cell>
          <cell r="T2951">
            <v>0</v>
          </cell>
          <cell r="U2951">
            <v>0</v>
          </cell>
          <cell r="V2951">
            <v>0</v>
          </cell>
          <cell r="W2951">
            <v>0</v>
          </cell>
          <cell r="X2951">
            <v>0</v>
          </cell>
          <cell r="Y2951">
            <v>0</v>
          </cell>
          <cell r="Z2951">
            <v>0</v>
          </cell>
          <cell r="AA2951">
            <v>0</v>
          </cell>
        </row>
        <row r="2952">
          <cell r="F2952">
            <v>59.917057684806423</v>
          </cell>
          <cell r="G2952">
            <v>134.23410287000198</v>
          </cell>
          <cell r="H2952">
            <v>0</v>
          </cell>
          <cell r="I2952">
            <v>0</v>
          </cell>
          <cell r="J2952">
            <v>0</v>
          </cell>
          <cell r="K2952">
            <v>0</v>
          </cell>
          <cell r="L2952">
            <v>0</v>
          </cell>
          <cell r="M2952">
            <v>0</v>
          </cell>
          <cell r="N2952">
            <v>0</v>
          </cell>
          <cell r="O2952">
            <v>0</v>
          </cell>
          <cell r="P2952">
            <v>0</v>
          </cell>
          <cell r="Q2952">
            <v>0</v>
          </cell>
          <cell r="R2952">
            <v>0</v>
          </cell>
          <cell r="S2952">
            <v>0</v>
          </cell>
          <cell r="T2952">
            <v>0</v>
          </cell>
          <cell r="U2952">
            <v>0</v>
          </cell>
          <cell r="V2952">
            <v>0</v>
          </cell>
          <cell r="W2952">
            <v>0</v>
          </cell>
          <cell r="X2952">
            <v>0</v>
          </cell>
          <cell r="Y2952">
            <v>0</v>
          </cell>
          <cell r="Z2952">
            <v>0</v>
          </cell>
          <cell r="AA2952">
            <v>0</v>
          </cell>
        </row>
        <row r="2953">
          <cell r="F2953">
            <v>3.1042709266411279</v>
          </cell>
          <cell r="G2953">
            <v>7.8234583803241362</v>
          </cell>
          <cell r="H2953">
            <v>0</v>
          </cell>
          <cell r="I2953">
            <v>0</v>
          </cell>
          <cell r="J2953">
            <v>0</v>
          </cell>
          <cell r="K2953">
            <v>0</v>
          </cell>
          <cell r="L2953">
            <v>0</v>
          </cell>
          <cell r="M2953">
            <v>0</v>
          </cell>
          <cell r="N2953">
            <v>0</v>
          </cell>
          <cell r="O2953">
            <v>0</v>
          </cell>
          <cell r="P2953">
            <v>0</v>
          </cell>
          <cell r="Q2953">
            <v>0</v>
          </cell>
          <cell r="R2953">
            <v>0</v>
          </cell>
          <cell r="S2953">
            <v>0</v>
          </cell>
          <cell r="T2953">
            <v>0</v>
          </cell>
          <cell r="U2953">
            <v>0</v>
          </cell>
          <cell r="V2953">
            <v>0</v>
          </cell>
          <cell r="W2953">
            <v>0</v>
          </cell>
          <cell r="X2953">
            <v>0</v>
          </cell>
          <cell r="Y2953">
            <v>0</v>
          </cell>
          <cell r="Z2953">
            <v>0</v>
          </cell>
          <cell r="AA2953">
            <v>0</v>
          </cell>
        </row>
        <row r="2954">
          <cell r="F2954">
            <v>154.42404763757972</v>
          </cell>
          <cell r="G2954">
            <v>171.58227515286634</v>
          </cell>
          <cell r="H2954">
            <v>0</v>
          </cell>
          <cell r="I2954">
            <v>0</v>
          </cell>
          <cell r="J2954">
            <v>0</v>
          </cell>
          <cell r="K2954">
            <v>0</v>
          </cell>
          <cell r="L2954">
            <v>0</v>
          </cell>
          <cell r="M2954">
            <v>0</v>
          </cell>
          <cell r="N2954">
            <v>0</v>
          </cell>
          <cell r="O2954">
            <v>0</v>
          </cell>
          <cell r="P2954">
            <v>0</v>
          </cell>
          <cell r="Q2954">
            <v>0</v>
          </cell>
          <cell r="R2954">
            <v>0</v>
          </cell>
          <cell r="S2954">
            <v>0</v>
          </cell>
          <cell r="T2954">
            <v>0</v>
          </cell>
          <cell r="U2954">
            <v>0</v>
          </cell>
          <cell r="V2954">
            <v>0</v>
          </cell>
          <cell r="W2954">
            <v>0</v>
          </cell>
          <cell r="X2954">
            <v>0</v>
          </cell>
          <cell r="Y2954">
            <v>0</v>
          </cell>
          <cell r="Z2954">
            <v>0</v>
          </cell>
          <cell r="AA2954">
            <v>0</v>
          </cell>
        </row>
        <row r="2955">
          <cell r="F2955">
            <v>26.372133651949788</v>
          </cell>
          <cell r="G2955">
            <v>36.920987112729698</v>
          </cell>
          <cell r="H2955">
            <v>0</v>
          </cell>
          <cell r="I2955">
            <v>0</v>
          </cell>
          <cell r="J2955">
            <v>0</v>
          </cell>
          <cell r="K2955">
            <v>0</v>
          </cell>
          <cell r="L2955">
            <v>0</v>
          </cell>
          <cell r="M2955">
            <v>0</v>
          </cell>
          <cell r="N2955">
            <v>0</v>
          </cell>
          <cell r="O2955">
            <v>0</v>
          </cell>
          <cell r="P2955">
            <v>0</v>
          </cell>
          <cell r="Q2955">
            <v>0</v>
          </cell>
          <cell r="R2955">
            <v>0</v>
          </cell>
          <cell r="S2955">
            <v>0</v>
          </cell>
          <cell r="T2955">
            <v>0</v>
          </cell>
          <cell r="U2955">
            <v>0</v>
          </cell>
          <cell r="V2955">
            <v>0</v>
          </cell>
          <cell r="W2955">
            <v>0</v>
          </cell>
          <cell r="X2955">
            <v>0</v>
          </cell>
          <cell r="Y2955">
            <v>0</v>
          </cell>
          <cell r="Z2955">
            <v>0</v>
          </cell>
          <cell r="AA2955">
            <v>0</v>
          </cell>
        </row>
        <row r="2956">
          <cell r="F2956">
            <v>0.11287292552186272</v>
          </cell>
          <cell r="G2956">
            <v>0.22574585104372544</v>
          </cell>
          <cell r="H2956">
            <v>0</v>
          </cell>
          <cell r="I2956">
            <v>0</v>
          </cell>
          <cell r="J2956">
            <v>0</v>
          </cell>
          <cell r="K2956">
            <v>0</v>
          </cell>
          <cell r="L2956">
            <v>0</v>
          </cell>
          <cell r="M2956">
            <v>0</v>
          </cell>
          <cell r="N2956">
            <v>0</v>
          </cell>
          <cell r="O2956">
            <v>0</v>
          </cell>
          <cell r="P2956">
            <v>0</v>
          </cell>
          <cell r="Q2956">
            <v>0</v>
          </cell>
          <cell r="R2956">
            <v>0</v>
          </cell>
          <cell r="S2956">
            <v>0</v>
          </cell>
          <cell r="T2956">
            <v>0</v>
          </cell>
          <cell r="U2956">
            <v>0</v>
          </cell>
          <cell r="V2956">
            <v>0</v>
          </cell>
          <cell r="W2956">
            <v>0</v>
          </cell>
          <cell r="X2956">
            <v>0</v>
          </cell>
          <cell r="Y2956">
            <v>0</v>
          </cell>
          <cell r="Z2956">
            <v>0</v>
          </cell>
          <cell r="AA2956">
            <v>0</v>
          </cell>
        </row>
      </sheetData>
      <sheetData sheetId="5"/>
      <sheetData sheetId="6"/>
      <sheetData sheetId="7"/>
      <sheetData sheetId="8"/>
      <sheetData sheetId="9">
        <row r="94">
          <cell r="E94">
            <v>22055492.023874313</v>
          </cell>
          <cell r="F94">
            <v>46744535.185816675</v>
          </cell>
          <cell r="G94">
            <v>62279117.516003817</v>
          </cell>
          <cell r="H94">
            <v>56358974.403944828</v>
          </cell>
          <cell r="I94">
            <v>68878720.954244837</v>
          </cell>
          <cell r="J94">
            <v>66277755.970213212</v>
          </cell>
          <cell r="K94">
            <v>36918990.575231217</v>
          </cell>
          <cell r="L94">
            <v>57829137.918655664</v>
          </cell>
          <cell r="M94">
            <v>50662478.148111276</v>
          </cell>
          <cell r="N94">
            <v>47712451.300821237</v>
          </cell>
          <cell r="O94">
            <v>46206402.915196866</v>
          </cell>
          <cell r="P94">
            <v>49041545.546318769</v>
          </cell>
          <cell r="Q94">
            <v>46944502.817812458</v>
          </cell>
          <cell r="R94">
            <v>47994539.839775398</v>
          </cell>
          <cell r="S94">
            <v>51353270.11561399</v>
          </cell>
          <cell r="T94">
            <v>24585489.540859487</v>
          </cell>
          <cell r="U94">
            <v>35437151.892810017</v>
          </cell>
          <cell r="V94">
            <v>48587481.583277069</v>
          </cell>
          <cell r="W94">
            <v>58943775.756332628</v>
          </cell>
          <cell r="X94">
            <v>48539250.096215941</v>
          </cell>
          <cell r="Y94">
            <v>58570364.894554622</v>
          </cell>
          <cell r="Z94">
            <v>39851547.530834846</v>
          </cell>
        </row>
        <row r="98">
          <cell r="E98">
            <v>18359971.322421566</v>
          </cell>
          <cell r="F98">
            <v>40240454.110376962</v>
          </cell>
          <cell r="G98">
            <v>55409218.915290631</v>
          </cell>
          <cell r="H98">
            <v>50786630.660636149</v>
          </cell>
          <cell r="I98">
            <v>58917403.321080029</v>
          </cell>
          <cell r="J98">
            <v>61053543.509370789</v>
          </cell>
          <cell r="K98">
            <v>32093995.458794512</v>
          </cell>
          <cell r="L98">
            <v>50032665.219387218</v>
          </cell>
          <cell r="M98">
            <v>43393349.484791413</v>
          </cell>
          <cell r="N98">
            <v>40396094.945910349</v>
          </cell>
          <cell r="O98">
            <v>35560901.160385013</v>
          </cell>
          <cell r="P98">
            <v>41667078.652521066</v>
          </cell>
          <cell r="Q98">
            <v>38628441.549875088</v>
          </cell>
          <cell r="R98">
            <v>41838882.16366899</v>
          </cell>
          <cell r="S98">
            <v>46693060.039317176</v>
          </cell>
          <cell r="T98">
            <v>20159637.618036158</v>
          </cell>
          <cell r="U98">
            <v>28506167.603647791</v>
          </cell>
          <cell r="V98">
            <v>39964729.865138069</v>
          </cell>
          <cell r="W98">
            <v>50309756.788850501</v>
          </cell>
          <cell r="X98">
            <v>41188066.732146271</v>
          </cell>
          <cell r="Y98">
            <v>48036173.08067295</v>
          </cell>
          <cell r="Z98">
            <v>39605147.548957616</v>
          </cell>
        </row>
        <row r="99">
          <cell r="E99">
            <v>3435167.7220871076</v>
          </cell>
          <cell r="F99">
            <v>5788277.8865742059</v>
          </cell>
          <cell r="G99">
            <v>5909015.9762238711</v>
          </cell>
          <cell r="H99">
            <v>4310200.8266669121</v>
          </cell>
          <cell r="I99">
            <v>8591820.5546208564</v>
          </cell>
          <cell r="J99">
            <v>4477279.5619674409</v>
          </cell>
          <cell r="K99">
            <v>4420196.5566308796</v>
          </cell>
          <cell r="L99">
            <v>7244610.9169554105</v>
          </cell>
          <cell r="M99">
            <v>6271668.7329674503</v>
          </cell>
          <cell r="N99">
            <v>6291530.2569876276</v>
          </cell>
          <cell r="O99">
            <v>9845838.480373539</v>
          </cell>
          <cell r="P99">
            <v>6216118.2924559088</v>
          </cell>
          <cell r="Q99">
            <v>7066321.9854330504</v>
          </cell>
          <cell r="R99">
            <v>5209529.1628022026</v>
          </cell>
          <cell r="S99">
            <v>4051276.4837935078</v>
          </cell>
          <cell r="T99">
            <v>3969666.0366188493</v>
          </cell>
          <cell r="U99">
            <v>6479377.8865370965</v>
          </cell>
          <cell r="V99">
            <v>8175672.6615071855</v>
          </cell>
          <cell r="W99">
            <v>8191415.7867620867</v>
          </cell>
          <cell r="X99">
            <v>6913005.2464676211</v>
          </cell>
          <cell r="Y99">
            <v>10068827.067643415</v>
          </cell>
          <cell r="Z99">
            <v>0</v>
          </cell>
        </row>
        <row r="100">
          <cell r="E100">
            <v>260352.97936563921</v>
          </cell>
          <cell r="F100">
            <v>715803.18886553519</v>
          </cell>
          <cell r="G100">
            <v>960882.62448932684</v>
          </cell>
          <cell r="H100">
            <v>1262142.9166417681</v>
          </cell>
          <cell r="I100">
            <v>1369497.0785439496</v>
          </cell>
          <cell r="J100">
            <v>746932.89887497167</v>
          </cell>
          <cell r="K100">
            <v>404798.55980584165</v>
          </cell>
          <cell r="L100">
            <v>551861.78231301438</v>
          </cell>
          <cell r="M100">
            <v>997459.93035241193</v>
          </cell>
          <cell r="N100">
            <v>1024826.0979232549</v>
          </cell>
          <cell r="O100">
            <v>799663.27443834243</v>
          </cell>
          <cell r="P100">
            <v>1158348.6013417756</v>
          </cell>
          <cell r="Q100">
            <v>1249739.2825043132</v>
          </cell>
          <cell r="R100">
            <v>946128.51330421504</v>
          </cell>
          <cell r="S100">
            <v>608933.59250332636</v>
          </cell>
          <cell r="T100">
            <v>456185.88620447449</v>
          </cell>
          <cell r="U100">
            <v>451606.4026251515</v>
          </cell>
          <cell r="V100">
            <v>447079.05663182185</v>
          </cell>
          <cell r="W100">
            <v>442603.1807200429</v>
          </cell>
          <cell r="X100">
            <v>438178.11760203738</v>
          </cell>
          <cell r="Y100">
            <v>465364.74623827531</v>
          </cell>
          <cell r="Z100">
            <v>246399.9818772318</v>
          </cell>
        </row>
        <row r="118">
          <cell r="E118">
            <v>190833.69366674108</v>
          </cell>
          <cell r="F118">
            <v>400795.92906164553</v>
          </cell>
          <cell r="G118">
            <v>500794.61437567754</v>
          </cell>
          <cell r="H118">
            <v>674233.3305831342</v>
          </cell>
          <cell r="I118">
            <v>634336.16790158558</v>
          </cell>
          <cell r="J118">
            <v>416327.23464180017</v>
          </cell>
          <cell r="K118">
            <v>282290.13556663855</v>
          </cell>
          <cell r="L118">
            <v>487732.006434198</v>
          </cell>
          <cell r="M118">
            <v>419624.25839209527</v>
          </cell>
          <cell r="N118">
            <v>347985.19198637409</v>
          </cell>
          <cell r="O118">
            <v>333593.07327177131</v>
          </cell>
          <cell r="P118">
            <v>421177.31405621953</v>
          </cell>
          <cell r="Q118">
            <v>376973.16079918121</v>
          </cell>
          <cell r="R118">
            <v>349957.86398409505</v>
          </cell>
          <cell r="S118">
            <v>429540.24499561457</v>
          </cell>
          <cell r="T118">
            <v>184698.17105209781</v>
          </cell>
          <cell r="U118">
            <v>206211.10008492577</v>
          </cell>
          <cell r="V118">
            <v>251251.74354556849</v>
          </cell>
          <cell r="W118">
            <v>319521.34980233596</v>
          </cell>
          <cell r="X118">
            <v>250465.13897028635</v>
          </cell>
          <cell r="Y118">
            <v>238169.51695114491</v>
          </cell>
          <cell r="Z118">
            <v>248180.28476810973</v>
          </cell>
        </row>
      </sheetData>
      <sheetData sheetId="10">
        <row r="291">
          <cell r="C291">
            <v>0.6</v>
          </cell>
        </row>
        <row r="352">
          <cell r="C352">
            <v>0.55000000000000004</v>
          </cell>
        </row>
        <row r="455">
          <cell r="C455">
            <v>0.55000000000000004</v>
          </cell>
        </row>
        <row r="805">
          <cell r="C805">
            <v>0.56999999999999995</v>
          </cell>
        </row>
        <row r="943">
          <cell r="C943">
            <v>0.55000000000000004</v>
          </cell>
        </row>
        <row r="1060">
          <cell r="C1060">
            <v>0.56999999999999995</v>
          </cell>
        </row>
        <row r="1149">
          <cell r="C1149">
            <v>0.56999999999999995</v>
          </cell>
        </row>
        <row r="1238">
          <cell r="C1238">
            <v>0.56999999999999995</v>
          </cell>
        </row>
        <row r="1327">
          <cell r="C1327">
            <v>0.53</v>
          </cell>
        </row>
        <row r="1416">
          <cell r="C1416">
            <v>0.53</v>
          </cell>
        </row>
        <row r="1505">
          <cell r="C1505">
            <v>0.53</v>
          </cell>
        </row>
        <row r="1594">
          <cell r="C1594">
            <v>0.55000000000000004</v>
          </cell>
        </row>
        <row r="1669">
          <cell r="C1669">
            <v>0.56999999999999995</v>
          </cell>
        </row>
        <row r="1765">
          <cell r="C1765">
            <v>0.56999999999999995</v>
          </cell>
        </row>
      </sheetData>
      <sheetData sheetId="11">
        <row r="30">
          <cell r="E30">
            <v>40</v>
          </cell>
          <cell r="F30">
            <v>40</v>
          </cell>
          <cell r="G30">
            <v>40</v>
          </cell>
          <cell r="H30">
            <v>40</v>
          </cell>
          <cell r="I30">
            <v>40</v>
          </cell>
          <cell r="J30">
            <v>40</v>
          </cell>
          <cell r="K30">
            <v>40</v>
          </cell>
          <cell r="L30">
            <v>40</v>
          </cell>
          <cell r="M30">
            <v>40</v>
          </cell>
          <cell r="N30">
            <v>40</v>
          </cell>
          <cell r="O30">
            <v>40</v>
          </cell>
          <cell r="P30">
            <v>40</v>
          </cell>
          <cell r="Q30">
            <v>40</v>
          </cell>
          <cell r="R30">
            <v>40</v>
          </cell>
          <cell r="S30">
            <v>40</v>
          </cell>
          <cell r="T30">
            <v>40</v>
          </cell>
          <cell r="U30">
            <v>40</v>
          </cell>
          <cell r="V30">
            <v>40</v>
          </cell>
          <cell r="W30">
            <v>40</v>
          </cell>
          <cell r="X30">
            <v>40</v>
          </cell>
          <cell r="Y30">
            <v>40</v>
          </cell>
          <cell r="Z30">
            <v>40</v>
          </cell>
        </row>
        <row r="41">
          <cell r="E41">
            <v>1210592.7014407103</v>
          </cell>
          <cell r="F41">
            <v>1233188.7010241025</v>
          </cell>
          <cell r="G41">
            <v>1474718.85296473</v>
          </cell>
          <cell r="H41">
            <v>1792257.0537715964</v>
          </cell>
          <cell r="I41">
            <v>2084955.495733473</v>
          </cell>
          <cell r="J41">
            <v>2470866.0042719888</v>
          </cell>
          <cell r="K41">
            <v>2405259.1569541814</v>
          </cell>
          <cell r="L41">
            <v>2488752.3072888749</v>
          </cell>
          <cell r="M41">
            <v>2541224.5893151364</v>
          </cell>
          <cell r="N41">
            <v>3115611.3054931108</v>
          </cell>
          <cell r="O41">
            <v>3242337.2937706914</v>
          </cell>
          <cell r="P41">
            <v>3372464.8574933745</v>
          </cell>
          <cell r="Q41">
            <v>3558345.8492385168</v>
          </cell>
          <cell r="R41">
            <v>3967400.5779924234</v>
          </cell>
          <cell r="S41">
            <v>4141149.9551635198</v>
          </cell>
          <cell r="T41">
            <v>4141149.9551635198</v>
          </cell>
          <cell r="U41">
            <v>4141149.9551635198</v>
          </cell>
          <cell r="V41">
            <v>4141149.9551635198</v>
          </cell>
          <cell r="W41">
            <v>4141149.9551635198</v>
          </cell>
          <cell r="X41">
            <v>4141149.9551635198</v>
          </cell>
          <cell r="Y41">
            <v>4141149.9551635198</v>
          </cell>
          <cell r="Z41">
            <v>4141149.9551635198</v>
          </cell>
        </row>
        <row r="42">
          <cell r="E42">
            <v>3065832.8586423006</v>
          </cell>
          <cell r="F42">
            <v>3093833.0396677898</v>
          </cell>
          <cell r="G42">
            <v>3374513.0880028317</v>
          </cell>
          <cell r="H42">
            <v>3899453.9737964766</v>
          </cell>
          <cell r="I42">
            <v>4210198.511387554</v>
          </cell>
          <cell r="J42">
            <v>5876129.8316609813</v>
          </cell>
          <cell r="K42">
            <v>5912411.7141981572</v>
          </cell>
          <cell r="L42">
            <v>6048552.1243233997</v>
          </cell>
          <cell r="M42">
            <v>6139958.4755415414</v>
          </cell>
          <cell r="N42">
            <v>6282555.7052981108</v>
          </cell>
          <cell r="O42">
            <v>6333713.8458663858</v>
          </cell>
          <cell r="P42">
            <v>6372435.2930903686</v>
          </cell>
          <cell r="Q42">
            <v>6415861.9680560762</v>
          </cell>
          <cell r="R42">
            <v>6483468.7889953982</v>
          </cell>
          <cell r="S42">
            <v>6547233.9911867902</v>
          </cell>
          <cell r="T42">
            <v>6547233.9911867902</v>
          </cell>
          <cell r="U42">
            <v>6547233.9911867902</v>
          </cell>
          <cell r="V42">
            <v>6547233.9911867902</v>
          </cell>
          <cell r="W42">
            <v>6547233.9911867902</v>
          </cell>
          <cell r="X42">
            <v>6547233.9911867902</v>
          </cell>
          <cell r="Y42">
            <v>6547233.9911867902</v>
          </cell>
          <cell r="Z42">
            <v>6547233.9911867902</v>
          </cell>
        </row>
        <row r="43">
          <cell r="E43">
            <v>1518277.248141496</v>
          </cell>
          <cell r="F43">
            <v>1543347.3748655629</v>
          </cell>
          <cell r="G43">
            <v>1818481.3194123064</v>
          </cell>
          <cell r="H43">
            <v>2200139.281949468</v>
          </cell>
          <cell r="I43">
            <v>2526673.4158031452</v>
          </cell>
          <cell r="J43">
            <v>3127756.1693987288</v>
          </cell>
          <cell r="K43">
            <v>3072561.7255469211</v>
          </cell>
          <cell r="L43">
            <v>3175694.8389919223</v>
          </cell>
          <cell r="M43">
            <v>3242435.9887341163</v>
          </cell>
          <cell r="N43">
            <v>3812327.7356236437</v>
          </cell>
          <cell r="O43">
            <v>3941370.97401973</v>
          </cell>
          <cell r="P43">
            <v>4069868.0726758395</v>
          </cell>
          <cell r="Q43">
            <v>4255573.8347781273</v>
          </cell>
          <cell r="R43">
            <v>4655456.8312947573</v>
          </cell>
          <cell r="S43">
            <v>4831593.8553952146</v>
          </cell>
          <cell r="T43">
            <v>4831593.8553952146</v>
          </cell>
          <cell r="U43">
            <v>4831593.8553952146</v>
          </cell>
          <cell r="V43">
            <v>4831593.8553952146</v>
          </cell>
          <cell r="W43">
            <v>4831593.8553952146</v>
          </cell>
          <cell r="X43">
            <v>4831593.8553952146</v>
          </cell>
          <cell r="Y43">
            <v>4831593.8553952146</v>
          </cell>
          <cell r="Z43">
            <v>4831593.8553952146</v>
          </cell>
        </row>
        <row r="44">
          <cell r="E44">
            <v>49369.373840414082</v>
          </cell>
          <cell r="F44">
            <v>54841.903232972836</v>
          </cell>
          <cell r="G44">
            <v>98295.538594385318</v>
          </cell>
          <cell r="H44">
            <v>126260.83996737433</v>
          </cell>
          <cell r="I44">
            <v>134756.52291822335</v>
          </cell>
          <cell r="J44">
            <v>196974.56139615158</v>
          </cell>
          <cell r="K44">
            <v>207166.987717396</v>
          </cell>
          <cell r="L44">
            <v>259551.14431278303</v>
          </cell>
          <cell r="M44">
            <v>305532.53313546069</v>
          </cell>
          <cell r="N44">
            <v>387468.01554018626</v>
          </cell>
          <cell r="O44">
            <v>447165.59426257713</v>
          </cell>
          <cell r="P44">
            <v>501900.43667027581</v>
          </cell>
          <cell r="Q44">
            <v>628555.87073461409</v>
          </cell>
          <cell r="R44">
            <v>864284.19453358196</v>
          </cell>
          <cell r="S44">
            <v>1368000.0930666642</v>
          </cell>
          <cell r="T44">
            <v>1368000.0930666642</v>
          </cell>
          <cell r="U44">
            <v>1368000.0930666642</v>
          </cell>
          <cell r="V44">
            <v>1368000.0930666642</v>
          </cell>
          <cell r="W44">
            <v>1368000.0930666642</v>
          </cell>
          <cell r="X44">
            <v>1368000.0930666642</v>
          </cell>
          <cell r="Y44">
            <v>1368000.0930666642</v>
          </cell>
          <cell r="Z44">
            <v>1368000.0930666642</v>
          </cell>
        </row>
        <row r="45">
          <cell r="E45">
            <v>211690.73925217811</v>
          </cell>
          <cell r="F45">
            <v>213665.81374245515</v>
          </cell>
          <cell r="G45">
            <v>216019.53048254945</v>
          </cell>
          <cell r="H45">
            <v>217562.40519659614</v>
          </cell>
          <cell r="I45">
            <v>219983.03684355097</v>
          </cell>
          <cell r="J45">
            <v>206451.27804813528</v>
          </cell>
          <cell r="K45">
            <v>199778.2641113587</v>
          </cell>
          <cell r="L45">
            <v>194111.48443475779</v>
          </cell>
          <cell r="M45">
            <v>183866.10912423502</v>
          </cell>
          <cell r="N45">
            <v>179481.47424098826</v>
          </cell>
          <cell r="O45">
            <v>178708.1192646132</v>
          </cell>
          <cell r="P45">
            <v>187670.49212312116</v>
          </cell>
          <cell r="Q45">
            <v>176186.95515081772</v>
          </cell>
          <cell r="R45">
            <v>175465.26190854088</v>
          </cell>
          <cell r="S45">
            <v>174468.26043656364</v>
          </cell>
          <cell r="T45">
            <v>174468.26043656364</v>
          </cell>
          <cell r="U45">
            <v>174468.26043656364</v>
          </cell>
          <cell r="V45">
            <v>174468.26043656364</v>
          </cell>
          <cell r="W45">
            <v>174468.26043656364</v>
          </cell>
          <cell r="X45">
            <v>174468.26043656364</v>
          </cell>
          <cell r="Y45">
            <v>174468.26043656364</v>
          </cell>
          <cell r="Z45">
            <v>174468.26043656364</v>
          </cell>
        </row>
        <row r="46">
          <cell r="E46">
            <v>757389.51309344452</v>
          </cell>
          <cell r="F46">
            <v>763424.94358119904</v>
          </cell>
          <cell r="G46">
            <v>771070.73264813947</v>
          </cell>
          <cell r="H46">
            <v>775430.2241338928</v>
          </cell>
          <cell r="I46">
            <v>780884.28031390614</v>
          </cell>
          <cell r="J46">
            <v>768106.71222862299</v>
          </cell>
          <cell r="K46">
            <v>762583.58371940791</v>
          </cell>
          <cell r="L46">
            <v>754823.89656781103</v>
          </cell>
          <cell r="M46">
            <v>744438.46496073727</v>
          </cell>
          <cell r="N46">
            <v>737861.26709300501</v>
          </cell>
          <cell r="O46">
            <v>736408.19679061673</v>
          </cell>
          <cell r="P46">
            <v>752479.85497857397</v>
          </cell>
          <cell r="Q46">
            <v>731851.36071726971</v>
          </cell>
          <cell r="R46">
            <v>725433.43282728025</v>
          </cell>
          <cell r="S46">
            <v>717099.36526491924</v>
          </cell>
          <cell r="T46">
            <v>717099.36526491924</v>
          </cell>
          <cell r="U46">
            <v>717099.36526491924</v>
          </cell>
          <cell r="V46">
            <v>717099.36526491924</v>
          </cell>
          <cell r="W46">
            <v>717099.36526491924</v>
          </cell>
          <cell r="X46">
            <v>717099.36526491924</v>
          </cell>
          <cell r="Y46">
            <v>717099.36526491924</v>
          </cell>
          <cell r="Z46">
            <v>717099.36526491924</v>
          </cell>
        </row>
        <row r="47">
          <cell r="E47">
            <v>1046730.689351793</v>
          </cell>
          <cell r="F47">
            <v>1082561.3560887673</v>
          </cell>
          <cell r="G47">
            <v>1571376.9784149611</v>
          </cell>
          <cell r="H47">
            <v>1978114.5766724045</v>
          </cell>
          <cell r="I47">
            <v>2114331.3288917867</v>
          </cell>
          <cell r="J47">
            <v>3116370.1943646008</v>
          </cell>
          <cell r="K47">
            <v>3135245.4535322124</v>
          </cell>
          <cell r="L47">
            <v>3132045.5220345347</v>
          </cell>
          <cell r="M47">
            <v>3159590.6747693876</v>
          </cell>
          <cell r="N47">
            <v>3390611.8503335551</v>
          </cell>
          <cell r="O47">
            <v>3439935.4415604779</v>
          </cell>
          <cell r="P47">
            <v>3522730.1949069621</v>
          </cell>
          <cell r="Q47">
            <v>4002573.3639566042</v>
          </cell>
          <cell r="R47">
            <v>4882713.5630593719</v>
          </cell>
          <cell r="S47">
            <v>4882713.5630593719</v>
          </cell>
          <cell r="T47">
            <v>4882713.5630593719</v>
          </cell>
          <cell r="U47">
            <v>4882713.5630593719</v>
          </cell>
          <cell r="V47">
            <v>4882713.5630593719</v>
          </cell>
          <cell r="W47">
            <v>4882713.5630593719</v>
          </cell>
          <cell r="X47">
            <v>4882713.5630593719</v>
          </cell>
          <cell r="Y47">
            <v>4882713.5630593719</v>
          </cell>
          <cell r="Z47">
            <v>4882713.5630593719</v>
          </cell>
        </row>
        <row r="48"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</row>
        <row r="50">
          <cell r="E50">
            <v>191468.95639564606</v>
          </cell>
          <cell r="F50">
            <v>189739.6133881339</v>
          </cell>
          <cell r="G50">
            <v>190761.88836751576</v>
          </cell>
          <cell r="H50">
            <v>189506.51905535406</v>
          </cell>
          <cell r="I50">
            <v>195689.79759241687</v>
          </cell>
          <cell r="J50">
            <v>209420.46353312046</v>
          </cell>
          <cell r="K50">
            <v>210222.19569657138</v>
          </cell>
          <cell r="L50">
            <v>213598.06644422325</v>
          </cell>
          <cell r="M50">
            <v>213913.33881507273</v>
          </cell>
          <cell r="N50">
            <v>219717.59686417281</v>
          </cell>
          <cell r="O50">
            <v>221447.66706683958</v>
          </cell>
          <cell r="P50">
            <v>228845.15309297157</v>
          </cell>
          <cell r="Q50">
            <v>232791.23239674303</v>
          </cell>
          <cell r="R50">
            <v>244298.93594259728</v>
          </cell>
          <cell r="S50">
            <v>267558.20613014937</v>
          </cell>
          <cell r="T50">
            <v>267558.20613014937</v>
          </cell>
          <cell r="U50">
            <v>267558.20613014937</v>
          </cell>
          <cell r="V50">
            <v>267558.20613014937</v>
          </cell>
          <cell r="W50">
            <v>267558.20613014937</v>
          </cell>
          <cell r="X50">
            <v>267558.20613014937</v>
          </cell>
          <cell r="Y50">
            <v>267558.20613014937</v>
          </cell>
          <cell r="Z50">
            <v>267558.20613014937</v>
          </cell>
        </row>
        <row r="51">
          <cell r="E51">
            <v>2400000</v>
          </cell>
          <cell r="F51">
            <v>2424000</v>
          </cell>
          <cell r="G51">
            <v>2448240</v>
          </cell>
          <cell r="H51">
            <v>2472722.4000000004</v>
          </cell>
          <cell r="I51">
            <v>2497449.6239999998</v>
          </cell>
          <cell r="J51">
            <v>2522424.1202400001</v>
          </cell>
          <cell r="K51">
            <v>2547648.3614423997</v>
          </cell>
          <cell r="L51">
            <v>2573124.8450568239</v>
          </cell>
          <cell r="M51">
            <v>2598856.0935073923</v>
          </cell>
          <cell r="N51">
            <v>2624844.6544424659</v>
          </cell>
          <cell r="O51">
            <v>2651093.1009868905</v>
          </cell>
          <cell r="P51">
            <v>2677604.0319967601</v>
          </cell>
          <cell r="Q51">
            <v>2704380.0723167276</v>
          </cell>
          <cell r="R51">
            <v>2731423.8730398947</v>
          </cell>
          <cell r="S51">
            <v>2758738.1117702937</v>
          </cell>
          <cell r="T51">
            <v>2786325.4928879971</v>
          </cell>
          <cell r="U51">
            <v>2814188.7478168765</v>
          </cell>
          <cell r="V51">
            <v>2842330.6352950456</v>
          </cell>
          <cell r="W51">
            <v>2870753.9416479962</v>
          </cell>
          <cell r="X51">
            <v>2899461.4810644761</v>
          </cell>
          <cell r="Y51">
            <v>2928456.0958751207</v>
          </cell>
          <cell r="Z51">
            <v>2957740.6568338722</v>
          </cell>
        </row>
        <row r="52">
          <cell r="E52">
            <v>19483.861811406488</v>
          </cell>
          <cell r="F52">
            <v>20948.326876487194</v>
          </cell>
          <cell r="G52">
            <v>24259.787475310113</v>
          </cell>
          <cell r="H52">
            <v>28460.46758860183</v>
          </cell>
          <cell r="I52">
            <v>30581.924078834367</v>
          </cell>
          <cell r="J52">
            <v>37505.230777686069</v>
          </cell>
          <cell r="K52">
            <v>37884.012688447139</v>
          </cell>
          <cell r="L52">
            <v>38964.932327754199</v>
          </cell>
          <cell r="M52">
            <v>40113.416535436088</v>
          </cell>
          <cell r="N52">
            <v>43262.029853940505</v>
          </cell>
          <cell r="O52">
            <v>44032.607425537492</v>
          </cell>
          <cell r="P52">
            <v>44863.002268665405</v>
          </cell>
          <cell r="Q52">
            <v>46361.064939230091</v>
          </cell>
          <cell r="R52">
            <v>48387.102954252507</v>
          </cell>
          <cell r="S52">
            <v>49204.756735210525</v>
          </cell>
          <cell r="T52">
            <v>49204.756735210525</v>
          </cell>
          <cell r="U52">
            <v>49204.756735210525</v>
          </cell>
          <cell r="V52">
            <v>49204.756735210525</v>
          </cell>
          <cell r="W52">
            <v>49204.756735210525</v>
          </cell>
          <cell r="X52">
            <v>49204.756735210525</v>
          </cell>
          <cell r="Y52">
            <v>49204.756735210525</v>
          </cell>
          <cell r="Z52">
            <v>49204.756735210525</v>
          </cell>
        </row>
        <row r="63">
          <cell r="E63">
            <v>4276425.5600830112</v>
          </cell>
          <cell r="F63">
            <v>4327021.7406918928</v>
          </cell>
          <cell r="G63">
            <v>4849231.9409675617</v>
          </cell>
          <cell r="H63">
            <v>5691711.027568073</v>
          </cell>
          <cell r="I63">
            <v>6295154.0071210265</v>
          </cell>
          <cell r="J63">
            <v>8346995.83593297</v>
          </cell>
          <cell r="K63">
            <v>8317670.8711523386</v>
          </cell>
          <cell r="L63">
            <v>8537304.4316122755</v>
          </cell>
          <cell r="M63">
            <v>8681183.0648566782</v>
          </cell>
          <cell r="N63">
            <v>9398167.0107912216</v>
          </cell>
          <cell r="O63">
            <v>9576051.1396370772</v>
          </cell>
          <cell r="P63">
            <v>9744900.150583744</v>
          </cell>
          <cell r="Q63">
            <v>9974207.8172945939</v>
          </cell>
          <cell r="R63">
            <v>10450869.366987821</v>
          </cell>
          <cell r="S63">
            <v>10688383.94635031</v>
          </cell>
          <cell r="T63">
            <v>10688383.94635031</v>
          </cell>
          <cell r="U63">
            <v>10688383.94635031</v>
          </cell>
          <cell r="V63">
            <v>10688383.94635031</v>
          </cell>
          <cell r="W63">
            <v>10688383.94635031</v>
          </cell>
          <cell r="X63">
            <v>10688383.94635031</v>
          </cell>
          <cell r="Y63">
            <v>10688383.94635031</v>
          </cell>
          <cell r="Z63">
            <v>10688383.94635031</v>
          </cell>
        </row>
        <row r="64">
          <cell r="E64">
            <v>3583457.5636793254</v>
          </cell>
          <cell r="F64">
            <v>3657841.3915109574</v>
          </cell>
          <cell r="G64">
            <v>4475244.0995523417</v>
          </cell>
          <cell r="H64">
            <v>5297507.3279197356</v>
          </cell>
          <cell r="I64">
            <v>5776628.5847706124</v>
          </cell>
          <cell r="J64">
            <v>7415658.9154362399</v>
          </cell>
          <cell r="K64">
            <v>7377336.0146272965</v>
          </cell>
          <cell r="L64">
            <v>7516226.8863418084</v>
          </cell>
          <cell r="M64">
            <v>7635863.7707239371</v>
          </cell>
          <cell r="N64">
            <v>8507750.3428313788</v>
          </cell>
          <cell r="O64">
            <v>8743588.325898014</v>
          </cell>
          <cell r="P64">
            <v>9034649.0513547733</v>
          </cell>
          <cell r="Q64">
            <v>9794741.3853374328</v>
          </cell>
          <cell r="R64">
            <v>11303353.283623531</v>
          </cell>
          <cell r="S64">
            <v>11973875.137222733</v>
          </cell>
          <cell r="T64">
            <v>11973875.137222733</v>
          </cell>
          <cell r="U64">
            <v>11973875.137222733</v>
          </cell>
          <cell r="V64">
            <v>11973875.137222733</v>
          </cell>
          <cell r="W64">
            <v>11973875.137222733</v>
          </cell>
          <cell r="X64">
            <v>11973875.137222733</v>
          </cell>
          <cell r="Y64">
            <v>11973875.137222733</v>
          </cell>
          <cell r="Z64">
            <v>11973875.137222733</v>
          </cell>
        </row>
        <row r="65">
          <cell r="E65">
            <v>957344.78197823034</v>
          </cell>
          <cell r="F65">
            <v>948698.06694066955</v>
          </cell>
          <cell r="G65">
            <v>953809.44183757878</v>
          </cell>
          <cell r="H65">
            <v>947532.5952767703</v>
          </cell>
          <cell r="I65">
            <v>978448.98796208436</v>
          </cell>
          <cell r="J65">
            <v>1047102.3176656023</v>
          </cell>
          <cell r="K65">
            <v>1051110.9784828569</v>
          </cell>
          <cell r="L65">
            <v>1067990.3322211162</v>
          </cell>
          <cell r="M65">
            <v>1069566.6940753637</v>
          </cell>
          <cell r="N65">
            <v>1098587.9843208641</v>
          </cell>
          <cell r="O65">
            <v>1107238.3353341979</v>
          </cell>
          <cell r="P65">
            <v>1144225.7654648579</v>
          </cell>
          <cell r="Q65">
            <v>1163956.1619837151</v>
          </cell>
          <cell r="R65">
            <v>1221494.6797129863</v>
          </cell>
          <cell r="S65">
            <v>1337791.030650747</v>
          </cell>
          <cell r="T65">
            <v>1337791.030650747</v>
          </cell>
          <cell r="U65">
            <v>1337791.030650747</v>
          </cell>
          <cell r="V65">
            <v>1337791.030650747</v>
          </cell>
          <cell r="W65">
            <v>1337791.030650747</v>
          </cell>
          <cell r="X65">
            <v>1337791.030650747</v>
          </cell>
          <cell r="Y65">
            <v>1337791.030650747</v>
          </cell>
          <cell r="Z65">
            <v>1337791.030650747</v>
          </cell>
        </row>
        <row r="66">
          <cell r="E66">
            <v>2400000</v>
          </cell>
          <cell r="F66">
            <v>2424000</v>
          </cell>
          <cell r="G66">
            <v>2448240</v>
          </cell>
          <cell r="H66">
            <v>2472722.4000000004</v>
          </cell>
          <cell r="I66">
            <v>2497449.6239999998</v>
          </cell>
          <cell r="J66">
            <v>2522424.1202400001</v>
          </cell>
          <cell r="K66">
            <v>2547648.3614423997</v>
          </cell>
          <cell r="L66">
            <v>2573124.8450568239</v>
          </cell>
          <cell r="M66">
            <v>2598856.0935073923</v>
          </cell>
          <cell r="N66">
            <v>2624844.6544424659</v>
          </cell>
          <cell r="O66">
            <v>2651093.1009868905</v>
          </cell>
          <cell r="P66">
            <v>2677604.0319967601</v>
          </cell>
          <cell r="Q66">
            <v>2704380.0723167276</v>
          </cell>
          <cell r="R66">
            <v>2731423.8730398947</v>
          </cell>
          <cell r="S66">
            <v>2758738.1117702937</v>
          </cell>
          <cell r="T66">
            <v>2786325.4928879971</v>
          </cell>
          <cell r="U66">
            <v>2814188.7478168765</v>
          </cell>
          <cell r="V66">
            <v>2842330.6352950456</v>
          </cell>
          <cell r="W66">
            <v>2870753.9416479962</v>
          </cell>
          <cell r="X66">
            <v>2899461.4810644761</v>
          </cell>
          <cell r="Y66">
            <v>2928456.0958751207</v>
          </cell>
          <cell r="Z66">
            <v>2957740.6568338722</v>
          </cell>
        </row>
        <row r="67">
          <cell r="E67">
            <v>19483.861811406488</v>
          </cell>
          <cell r="F67">
            <v>20948.326876487194</v>
          </cell>
          <cell r="G67">
            <v>24259.787475310113</v>
          </cell>
          <cell r="H67">
            <v>28460.46758860183</v>
          </cell>
          <cell r="I67">
            <v>30581.924078834367</v>
          </cell>
          <cell r="J67">
            <v>37505.230777686069</v>
          </cell>
          <cell r="K67">
            <v>37884.012688447139</v>
          </cell>
          <cell r="L67">
            <v>38964.932327754199</v>
          </cell>
          <cell r="M67">
            <v>40113.416535436088</v>
          </cell>
          <cell r="N67">
            <v>43262.029853940505</v>
          </cell>
          <cell r="O67">
            <v>44032.607425537492</v>
          </cell>
          <cell r="P67">
            <v>44863.002268665405</v>
          </cell>
          <cell r="Q67">
            <v>46361.064939230091</v>
          </cell>
          <cell r="R67">
            <v>48387.102954252507</v>
          </cell>
          <cell r="S67">
            <v>49204.756735210525</v>
          </cell>
          <cell r="T67">
            <v>49204.756735210525</v>
          </cell>
          <cell r="U67">
            <v>49204.756735210525</v>
          </cell>
          <cell r="V67">
            <v>49204.756735210525</v>
          </cell>
          <cell r="W67">
            <v>49204.756735210525</v>
          </cell>
          <cell r="X67">
            <v>49204.756735210525</v>
          </cell>
          <cell r="Y67">
            <v>49204.756735210525</v>
          </cell>
          <cell r="Z67">
            <v>49204.756735210525</v>
          </cell>
        </row>
      </sheetData>
      <sheetData sheetId="12"/>
      <sheetData sheetId="13"/>
      <sheetData sheetId="14"/>
      <sheetData sheetId="15"/>
      <sheetData sheetId="16"/>
      <sheetData sheetId="17"/>
      <sheetData sheetId="18">
        <row r="3">
          <cell r="M3">
            <v>1722748</v>
          </cell>
          <cell r="N3">
            <v>1166.0734357440572</v>
          </cell>
          <cell r="O3">
            <v>1477.3923727202787</v>
          </cell>
          <cell r="P3">
            <v>0.32217343096073903</v>
          </cell>
        </row>
        <row r="4">
          <cell r="M4">
            <v>2790932</v>
          </cell>
          <cell r="N4">
            <v>5532.4799012980102</v>
          </cell>
          <cell r="O4">
            <v>504.4631069233892</v>
          </cell>
          <cell r="P4">
            <v>0.52193596394720365</v>
          </cell>
        </row>
        <row r="5">
          <cell r="M5">
            <v>833589</v>
          </cell>
          <cell r="N5">
            <v>294083.66666295793</v>
          </cell>
          <cell r="O5">
            <v>2.8345300827446356</v>
          </cell>
          <cell r="P5">
            <v>0.15589060509205727</v>
          </cell>
        </row>
        <row r="6">
          <cell r="M6">
            <v>521251.5</v>
          </cell>
          <cell r="N6">
            <v>159.29612634054533</v>
          </cell>
          <cell r="O6">
            <v>3272.2170461675996</v>
          </cell>
          <cell r="P6">
            <v>9.7479947240357648E-2</v>
          </cell>
        </row>
        <row r="7">
          <cell r="M7">
            <v>521251.5</v>
          </cell>
          <cell r="N7">
            <v>318.59225268109066</v>
          </cell>
          <cell r="O7">
            <v>1636.1085230837998</v>
          </cell>
          <cell r="P7">
            <v>9.7479947240357648E-2</v>
          </cell>
        </row>
        <row r="8">
          <cell r="M8">
            <v>2760</v>
          </cell>
          <cell r="N8">
            <v>291.59162097836401</v>
          </cell>
          <cell r="O8">
            <v>9.4652925579256983</v>
          </cell>
          <cell r="P8">
            <v>5.1615132883720645E-4</v>
          </cell>
        </row>
        <row r="9">
          <cell r="M9">
            <v>5347269</v>
          </cell>
          <cell r="N9">
            <v>300782.21999999997</v>
          </cell>
        </row>
      </sheetData>
      <sheetData sheetId="19">
        <row r="3">
          <cell r="B3" t="str">
            <v>H1/05</v>
          </cell>
          <cell r="C3" t="str">
            <v>H1_05</v>
          </cell>
          <cell r="D3" t="str">
            <v>Network operator</v>
          </cell>
          <cell r="E3" t="str">
            <v>voice minutes (million)</v>
          </cell>
          <cell r="F3" t="str">
            <v>SMS (million)</v>
          </cell>
          <cell r="G3" t="str">
            <v>Proportion of mobile data users</v>
          </cell>
          <cell r="H3" t="str">
            <v>Elisa</v>
          </cell>
          <cell r="I3" t="str">
            <v>Urban</v>
          </cell>
          <cell r="J3">
            <v>900</v>
          </cell>
          <cell r="K3" t="str">
            <v>not deployed</v>
          </cell>
          <cell r="M3" t="str">
            <v>No</v>
          </cell>
          <cell r="N3">
            <v>2100</v>
          </cell>
          <cell r="O3" t="str">
            <v>Yes</v>
          </cell>
          <cell r="P3">
            <v>2600</v>
          </cell>
        </row>
        <row r="4">
          <cell r="B4" t="str">
            <v>H2/05</v>
          </cell>
          <cell r="C4" t="str">
            <v>H2_05</v>
          </cell>
          <cell r="D4" t="str">
            <v>MVNO</v>
          </cell>
          <cell r="E4" t="str">
            <v>voice calls (million)</v>
          </cell>
          <cell r="F4" t="str">
            <v>MMS (thousand)</v>
          </cell>
          <cell r="G4" t="str">
            <v>Mobile data  volume (TB)</v>
          </cell>
          <cell r="H4" t="str">
            <v>TeliaSonera</v>
          </cell>
          <cell r="I4" t="str">
            <v>Suburban</v>
          </cell>
          <cell r="J4">
            <v>1800</v>
          </cell>
          <cell r="K4" t="str">
            <v>R99_WCDMA</v>
          </cell>
          <cell r="M4" t="str">
            <v>2x2</v>
          </cell>
          <cell r="N4">
            <v>900</v>
          </cell>
          <cell r="O4" t="str">
            <v>No</v>
          </cell>
          <cell r="P4">
            <v>1800</v>
          </cell>
        </row>
        <row r="5">
          <cell r="B5" t="str">
            <v>H1/06</v>
          </cell>
          <cell r="C5" t="str">
            <v>H1_06</v>
          </cell>
          <cell r="D5" t="str">
            <v>Service providers</v>
          </cell>
          <cell r="E5" t="str">
            <v>average call duration (seconds)</v>
          </cell>
          <cell r="G5" t="str">
            <v>Mobile broadband subscriptions</v>
          </cell>
          <cell r="H5" t="str">
            <v>DNA</v>
          </cell>
          <cell r="I5" t="str">
            <v>Rural</v>
          </cell>
          <cell r="J5" t="str">
            <v>900 &amp; 1800</v>
          </cell>
          <cell r="K5" t="str">
            <v>R5_HSDPA_1.8</v>
          </cell>
          <cell r="M5" t="str">
            <v>4x4</v>
          </cell>
          <cell r="N5" t="str">
            <v>2100 &amp; 900</v>
          </cell>
          <cell r="P5">
            <v>800</v>
          </cell>
        </row>
        <row r="6">
          <cell r="B6" t="str">
            <v>H2/06</v>
          </cell>
          <cell r="C6" t="str">
            <v>H2_06</v>
          </cell>
          <cell r="D6" t="str">
            <v>owned customers</v>
          </cell>
          <cell r="G6" t="str">
            <v>subscriptions with limited usage</v>
          </cell>
          <cell r="H6" t="str">
            <v>Datame</v>
          </cell>
          <cell r="I6" t="str">
            <v>HMA_urban</v>
          </cell>
          <cell r="K6" t="str">
            <v>R5_HSDPA_3.6</v>
          </cell>
          <cell r="P6">
            <v>450</v>
          </cell>
        </row>
        <row r="7">
          <cell r="B7" t="str">
            <v>H1/07</v>
          </cell>
          <cell r="C7" t="str">
            <v>H1_07</v>
          </cell>
          <cell r="D7" t="str">
            <v xml:space="preserve">proportion of post-paid </v>
          </cell>
          <cell r="G7" t="str">
            <v>subscriptions charged by usage</v>
          </cell>
          <cell r="H7" t="str">
            <v>New entrant</v>
          </cell>
          <cell r="I7" t="str">
            <v>HMA_suburban</v>
          </cell>
          <cell r="K7" t="str">
            <v>R5_HSDPA_7.2</v>
          </cell>
          <cell r="P7">
            <v>900</v>
          </cell>
        </row>
        <row r="8">
          <cell r="B8" t="str">
            <v>H2/07</v>
          </cell>
          <cell r="C8" t="str">
            <v>H2_07</v>
          </cell>
          <cell r="D8" t="str">
            <v>proportion of pre-paid</v>
          </cell>
          <cell r="G8" t="str">
            <v>other subscription category</v>
          </cell>
          <cell r="I8" t="str">
            <v>HMA_rural</v>
          </cell>
          <cell r="K8" t="str">
            <v>R5_HSDPA_14.4</v>
          </cell>
          <cell r="P8">
            <v>2100</v>
          </cell>
        </row>
        <row r="9">
          <cell r="B9" t="str">
            <v>H1/08</v>
          </cell>
          <cell r="C9" t="str">
            <v>H1_08</v>
          </cell>
          <cell r="D9" t="str">
            <v xml:space="preserve">proportion of consumer </v>
          </cell>
          <cell r="G9" t="str">
            <v>Mobile broadband traffic volume</v>
          </cell>
          <cell r="K9" t="str">
            <v>R7_HSPA+_21</v>
          </cell>
        </row>
        <row r="10">
          <cell r="B10" t="str">
            <v>H2/08</v>
          </cell>
          <cell r="C10" t="str">
            <v>H2_08</v>
          </cell>
          <cell r="D10" t="str">
            <v>proportion of corporate</v>
          </cell>
          <cell r="G10" t="str">
            <v>limited usage subscriptions traffic volume</v>
          </cell>
          <cell r="K10" t="str">
            <v>R7_HSPA+_28_2x2</v>
          </cell>
        </row>
        <row r="11">
          <cell r="B11" t="str">
            <v>H1/09</v>
          </cell>
          <cell r="C11" t="str">
            <v>H1_09</v>
          </cell>
          <cell r="D11" t="str">
            <v>blended churn rate</v>
          </cell>
          <cell r="G11" t="str">
            <v>charged by usage traffic volume</v>
          </cell>
          <cell r="K11" t="str">
            <v>R8_HSPA+_42_DC</v>
          </cell>
        </row>
        <row r="12">
          <cell r="B12" t="str">
            <v>H2/09</v>
          </cell>
          <cell r="C12" t="str">
            <v>H2_09</v>
          </cell>
          <cell r="D12" t="str">
            <v>post-paid churn rate</v>
          </cell>
          <cell r="G12" t="str">
            <v>other subscription traffic volume</v>
          </cell>
          <cell r="K12" t="str">
            <v>R9_HSPA+_84_2x2_DC</v>
          </cell>
        </row>
        <row r="13">
          <cell r="B13" t="str">
            <v>H1/10</v>
          </cell>
          <cell r="C13" t="str">
            <v>H1_10</v>
          </cell>
          <cell r="D13" t="str">
            <v>pre-paid churn rate</v>
          </cell>
          <cell r="K13" t="str">
            <v>R10_HSPA+_168_2x2_QC</v>
          </cell>
        </row>
        <row r="14">
          <cell r="B14" t="str">
            <v>H2/10</v>
          </cell>
          <cell r="C14" t="str">
            <v>H2_10</v>
          </cell>
          <cell r="K14" t="str">
            <v>R11_HSPA+_336_2x2_OC</v>
          </cell>
        </row>
        <row r="15">
          <cell r="B15" t="str">
            <v>H1/11</v>
          </cell>
          <cell r="C15" t="str">
            <v>H1_11</v>
          </cell>
        </row>
        <row r="16">
          <cell r="B16" t="str">
            <v>H2/11</v>
          </cell>
          <cell r="C16" t="str">
            <v>H2_11</v>
          </cell>
        </row>
        <row r="17">
          <cell r="B17" t="str">
            <v>H1/12</v>
          </cell>
          <cell r="C17" t="str">
            <v>H1_12</v>
          </cell>
        </row>
        <row r="18">
          <cell r="B18" t="str">
            <v>H2/12</v>
          </cell>
          <cell r="C18" t="str">
            <v>H2_12</v>
          </cell>
        </row>
        <row r="19">
          <cell r="B19" t="str">
            <v>H1/13</v>
          </cell>
          <cell r="C19" t="str">
            <v>H1_13</v>
          </cell>
        </row>
        <row r="20">
          <cell r="B20" t="str">
            <v>H2/13</v>
          </cell>
          <cell r="C20" t="str">
            <v>H2_13</v>
          </cell>
        </row>
        <row r="21">
          <cell r="B21" t="str">
            <v>H1/14</v>
          </cell>
          <cell r="C21" t="str">
            <v>H1_14</v>
          </cell>
        </row>
        <row r="22">
          <cell r="B22" t="str">
            <v>H2/14</v>
          </cell>
          <cell r="C22" t="str">
            <v>H2_14</v>
          </cell>
        </row>
        <row r="23">
          <cell r="B23" t="str">
            <v>H1/15</v>
          </cell>
          <cell r="C23" t="str">
            <v>H1_15</v>
          </cell>
        </row>
        <row r="24">
          <cell r="B24" t="str">
            <v>H2/15</v>
          </cell>
          <cell r="C24" t="str">
            <v>H2_15</v>
          </cell>
        </row>
        <row r="27">
          <cell r="D27" t="str">
            <v>Volume class</v>
          </cell>
          <cell r="E27" t="str">
            <v>n(0)</v>
          </cell>
          <cell r="F27" t="str">
            <v>Δt</v>
          </cell>
        </row>
        <row r="28">
          <cell r="D28" t="str">
            <v xml:space="preserve">Emerging Fast </v>
          </cell>
          <cell r="E28">
            <v>1E-3</v>
          </cell>
          <cell r="F28">
            <v>5</v>
          </cell>
        </row>
        <row r="29">
          <cell r="D29" t="str">
            <v xml:space="preserve">Emerging Medium </v>
          </cell>
          <cell r="E29">
            <v>1E-3</v>
          </cell>
          <cell r="F29">
            <v>10</v>
          </cell>
        </row>
        <row r="30">
          <cell r="D30" t="str">
            <v>Emerging Slow</v>
          </cell>
          <cell r="E30">
            <v>1E-3</v>
          </cell>
          <cell r="F30">
            <v>20</v>
          </cell>
        </row>
        <row r="31">
          <cell r="D31" t="str">
            <v xml:space="preserve">Emerging VerySlow </v>
          </cell>
          <cell r="E31">
            <v>1E-3</v>
          </cell>
          <cell r="F31">
            <v>40</v>
          </cell>
        </row>
        <row r="32">
          <cell r="D32" t="str">
            <v xml:space="preserve">New Fast </v>
          </cell>
          <cell r="E32">
            <v>0.01</v>
          </cell>
          <cell r="F32">
            <v>5</v>
          </cell>
        </row>
        <row r="33">
          <cell r="D33" t="str">
            <v>New Medium</v>
          </cell>
          <cell r="E33">
            <v>0.01</v>
          </cell>
          <cell r="F33">
            <v>10</v>
          </cell>
        </row>
        <row r="34">
          <cell r="D34" t="str">
            <v xml:space="preserve">New Slow </v>
          </cell>
          <cell r="E34">
            <v>0.01</v>
          </cell>
          <cell r="F34">
            <v>20</v>
          </cell>
        </row>
        <row r="35">
          <cell r="D35" t="str">
            <v xml:space="preserve">New Very Slow </v>
          </cell>
          <cell r="E35">
            <v>0.01</v>
          </cell>
          <cell r="F35">
            <v>40</v>
          </cell>
        </row>
        <row r="36">
          <cell r="D36" t="str">
            <v xml:space="preserve">Mature Fast </v>
          </cell>
          <cell r="E36">
            <v>0.1</v>
          </cell>
          <cell r="F36">
            <v>5</v>
          </cell>
        </row>
        <row r="37">
          <cell r="D37" t="str">
            <v>Mature Medium</v>
          </cell>
          <cell r="E37">
            <v>0.1</v>
          </cell>
          <cell r="F37">
            <v>10</v>
          </cell>
        </row>
        <row r="38">
          <cell r="D38" t="str">
            <v>Mature Slow</v>
          </cell>
          <cell r="E38">
            <v>0.1</v>
          </cell>
          <cell r="F38">
            <v>20</v>
          </cell>
        </row>
        <row r="39">
          <cell r="D39" t="str">
            <v xml:space="preserve">Mature Very Slow </v>
          </cell>
          <cell r="E39">
            <v>0.1</v>
          </cell>
          <cell r="F39">
            <v>40</v>
          </cell>
        </row>
        <row r="40">
          <cell r="D40" t="str">
            <v xml:space="preserve">Old Fast </v>
          </cell>
          <cell r="E40">
            <v>0.5</v>
          </cell>
          <cell r="F40">
            <v>5</v>
          </cell>
        </row>
        <row r="41">
          <cell r="D41" t="str">
            <v>Old Medium</v>
          </cell>
          <cell r="E41">
            <v>0.5</v>
          </cell>
          <cell r="F41">
            <v>10</v>
          </cell>
        </row>
        <row r="42">
          <cell r="D42" t="str">
            <v xml:space="preserve">Old Slow </v>
          </cell>
          <cell r="E42">
            <v>0.5</v>
          </cell>
          <cell r="F42">
            <v>20</v>
          </cell>
        </row>
        <row r="43">
          <cell r="D43" t="str">
            <v>Old Very Slow</v>
          </cell>
          <cell r="E43">
            <v>0.5</v>
          </cell>
          <cell r="F43">
            <v>40</v>
          </cell>
        </row>
        <row r="44">
          <cell r="D44" t="str">
            <v xml:space="preserve">Straight Line </v>
          </cell>
          <cell r="E44">
            <v>0.1</v>
          </cell>
          <cell r="F44">
            <v>1000</v>
          </cell>
        </row>
        <row r="47">
          <cell r="D47" t="str">
            <v>Learning curve class</v>
          </cell>
          <cell r="E47" t="str">
            <v>K</v>
          </cell>
        </row>
        <row r="48">
          <cell r="D48" t="str">
            <v>site built-out</v>
          </cell>
          <cell r="E48">
            <v>1</v>
          </cell>
        </row>
        <row r="49">
          <cell r="D49" t="str">
            <v>Civil work</v>
          </cell>
          <cell r="E49">
            <v>1</v>
          </cell>
        </row>
        <row r="50">
          <cell r="D50" t="str">
            <v>Copper cable</v>
          </cell>
          <cell r="E50">
            <v>1</v>
          </cell>
        </row>
        <row r="51">
          <cell r="D51" t="str">
            <v>Electronics</v>
          </cell>
          <cell r="E51">
            <v>0.8</v>
          </cell>
        </row>
        <row r="52">
          <cell r="D52" t="str">
            <v>Sites and enclosures</v>
          </cell>
          <cell r="E52">
            <v>0.9</v>
          </cell>
        </row>
        <row r="53">
          <cell r="D53" t="str">
            <v xml:space="preserve">Fibre cable </v>
          </cell>
          <cell r="E53">
            <v>0.9</v>
          </cell>
        </row>
        <row r="54">
          <cell r="D54" t="str">
            <v>Installation</v>
          </cell>
          <cell r="E54">
            <v>1</v>
          </cell>
        </row>
        <row r="55">
          <cell r="D55" t="str">
            <v>Advanced optical components</v>
          </cell>
          <cell r="E55">
            <v>0.7</v>
          </cell>
        </row>
        <row r="56">
          <cell r="D56" t="str">
            <v>Optical components</v>
          </cell>
          <cell r="E56">
            <v>0.8</v>
          </cell>
        </row>
        <row r="57">
          <cell r="D57" t="str">
            <v xml:space="preserve">Straight Line </v>
          </cell>
          <cell r="E57">
            <v>1</v>
          </cell>
        </row>
      </sheetData>
      <sheetData sheetId="2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Supply inputs and design"/>
      <sheetName val="CB_DATA_"/>
      <sheetName val="Demand inputs"/>
      <sheetName val="Current network"/>
      <sheetName val="Urban"/>
      <sheetName val="Suburban"/>
      <sheetName val="Rural"/>
      <sheetName val="Offloading"/>
      <sheetName val="ErlangB"/>
      <sheetName val="Sheet1"/>
    </sheetNames>
    <sheetDataSet>
      <sheetData sheetId="0">
        <row r="8">
          <cell r="E8">
            <v>1</v>
          </cell>
        </row>
        <row r="60">
          <cell r="E60">
            <v>10</v>
          </cell>
        </row>
      </sheetData>
      <sheetData sheetId="1"/>
      <sheetData sheetId="2">
        <row r="14">
          <cell r="B14" t="str">
            <v>76495b30-ad59-4755-b3d0-9eec196156c9</v>
          </cell>
        </row>
      </sheetData>
      <sheetData sheetId="3"/>
      <sheetData sheetId="4"/>
      <sheetData sheetId="5"/>
      <sheetData sheetId="6"/>
      <sheetData sheetId="7"/>
      <sheetData sheetId="8"/>
      <sheetData sheetId="9">
        <row r="8">
          <cell r="B8">
            <v>1E-3</v>
          </cell>
          <cell r="C8">
            <v>2E-3</v>
          </cell>
          <cell r="D8">
            <v>5.0000000000000001E-3</v>
          </cell>
          <cell r="E8">
            <v>0.01</v>
          </cell>
          <cell r="F8">
            <v>1.2E-2</v>
          </cell>
          <cell r="G8">
            <v>1.2999999999999999E-2</v>
          </cell>
          <cell r="H8">
            <v>1.4999999999999999E-2</v>
          </cell>
          <cell r="I8">
            <v>0.02</v>
          </cell>
          <cell r="J8">
            <v>0.03</v>
          </cell>
          <cell r="K8">
            <v>0.05</v>
          </cell>
          <cell r="L8">
            <v>7.0000000000000007E-2</v>
          </cell>
          <cell r="M8">
            <v>0.1</v>
          </cell>
          <cell r="N8">
            <v>0.15</v>
          </cell>
          <cell r="O8">
            <v>0.2</v>
          </cell>
          <cell r="P8">
            <v>0.3</v>
          </cell>
          <cell r="Q8">
            <v>0.4</v>
          </cell>
          <cell r="R8">
            <v>0.5</v>
          </cell>
        </row>
        <row r="10">
          <cell r="A10">
            <v>1</v>
          </cell>
          <cell r="B10">
            <v>1.0010010000000001E-3</v>
          </cell>
          <cell r="C10">
            <v>2.0040079999999998E-3</v>
          </cell>
          <cell r="D10">
            <v>5.0251256000000003E-3</v>
          </cell>
          <cell r="E10">
            <v>1.0101010000000001E-2</v>
          </cell>
          <cell r="F10">
            <v>1.2145749000000001E-2</v>
          </cell>
          <cell r="G10">
            <v>1.3171225999999999E-2</v>
          </cell>
          <cell r="H10">
            <v>1.5238922285714284E-2</v>
          </cell>
          <cell r="I10">
            <v>2.0408163E-2</v>
          </cell>
          <cell r="J10">
            <v>3.0927835000000001E-2</v>
          </cell>
          <cell r="K10">
            <v>5.2631578999999998E-2</v>
          </cell>
          <cell r="L10">
            <v>7.5268817000000002E-2</v>
          </cell>
          <cell r="M10">
            <v>0.11111111</v>
          </cell>
          <cell r="N10">
            <v>0.17647059000000001</v>
          </cell>
          <cell r="O10">
            <v>0.25</v>
          </cell>
          <cell r="P10">
            <v>0.42857142999999998</v>
          </cell>
          <cell r="Q10">
            <v>0.66666667000000002</v>
          </cell>
          <cell r="R10">
            <v>1</v>
          </cell>
        </row>
        <row r="11">
          <cell r="A11">
            <v>2</v>
          </cell>
          <cell r="B11">
            <v>4.5755933999999998E-2</v>
          </cell>
          <cell r="C11">
            <v>6.5344611999999996E-2</v>
          </cell>
          <cell r="D11">
            <v>0.10540193</v>
          </cell>
          <cell r="E11">
            <v>0.15259328999999999</v>
          </cell>
          <cell r="F11">
            <v>0.16847558000000001</v>
          </cell>
          <cell r="G11">
            <v>0.17600836</v>
          </cell>
          <cell r="H11">
            <v>0.18956792</v>
          </cell>
          <cell r="I11">
            <v>0.22346682000000001</v>
          </cell>
          <cell r="J11">
            <v>0.28155145999999998</v>
          </cell>
          <cell r="K11">
            <v>0.38131567999999999</v>
          </cell>
          <cell r="L11">
            <v>0.47049411000000002</v>
          </cell>
          <cell r="M11">
            <v>0.59543321999999999</v>
          </cell>
          <cell r="N11">
            <v>0.79621492999999999</v>
          </cell>
          <cell r="O11">
            <v>1</v>
          </cell>
          <cell r="P11">
            <v>1.4487755</v>
          </cell>
          <cell r="Q11">
            <v>2</v>
          </cell>
          <cell r="R11">
            <v>2.7320508000000001</v>
          </cell>
        </row>
        <row r="12">
          <cell r="A12">
            <v>3</v>
          </cell>
          <cell r="B12">
            <v>0.19383726000000001</v>
          </cell>
          <cell r="C12">
            <v>0.24872209000000001</v>
          </cell>
          <cell r="D12">
            <v>0.34900312</v>
          </cell>
          <cell r="E12">
            <v>0.45548529999999998</v>
          </cell>
          <cell r="F12">
            <v>0.48948047</v>
          </cell>
          <cell r="G12">
            <v>0.50534875000000001</v>
          </cell>
          <cell r="H12">
            <v>0.5330223871428571</v>
          </cell>
          <cell r="I12">
            <v>0.60220647999999999</v>
          </cell>
          <cell r="J12">
            <v>0.71512732999999995</v>
          </cell>
          <cell r="K12">
            <v>0.89939552</v>
          </cell>
          <cell r="L12">
            <v>1.0571311000000001</v>
          </cell>
          <cell r="M12">
            <v>1.2707763000000001</v>
          </cell>
          <cell r="N12">
            <v>1.6024780000000001</v>
          </cell>
          <cell r="O12">
            <v>1.9299436999999999</v>
          </cell>
          <cell r="P12">
            <v>2.6331473000000001</v>
          </cell>
          <cell r="Q12">
            <v>3.4798157000000001</v>
          </cell>
          <cell r="R12">
            <v>4.5914057000000001</v>
          </cell>
        </row>
        <row r="13">
          <cell r="A13">
            <v>4</v>
          </cell>
          <cell r="B13">
            <v>0.43927467999999997</v>
          </cell>
          <cell r="C13">
            <v>0.53502550999999998</v>
          </cell>
          <cell r="D13">
            <v>0.70119854000000004</v>
          </cell>
          <cell r="E13">
            <v>0.86941880000000005</v>
          </cell>
          <cell r="F13">
            <v>0.92183406999999995</v>
          </cell>
          <cell r="G13">
            <v>0.94612260999999998</v>
          </cell>
          <cell r="H13">
            <v>0.98787629285714251</v>
          </cell>
          <cell r="I13">
            <v>1.0922605000000001</v>
          </cell>
          <cell r="J13">
            <v>1.2589055</v>
          </cell>
          <cell r="K13">
            <v>1.5246226000000001</v>
          </cell>
          <cell r="L13">
            <v>1.7476981</v>
          </cell>
          <cell r="M13">
            <v>2.0453749999999999</v>
          </cell>
          <cell r="N13">
            <v>2.5007467000000001</v>
          </cell>
          <cell r="O13">
            <v>2.9451862000000002</v>
          </cell>
          <cell r="P13">
            <v>3.8904508999999998</v>
          </cell>
          <cell r="Q13">
            <v>5.0210201000000003</v>
          </cell>
          <cell r="R13">
            <v>6.5010627000000003</v>
          </cell>
        </row>
        <row r="14">
          <cell r="A14">
            <v>5</v>
          </cell>
          <cell r="B14">
            <v>0.76211468999999998</v>
          </cell>
          <cell r="C14">
            <v>0.89985579000000004</v>
          </cell>
          <cell r="D14">
            <v>1.1320364000000001</v>
          </cell>
          <cell r="E14">
            <v>1.3607868000000001</v>
          </cell>
          <cell r="F14">
            <v>1.4310844</v>
          </cell>
          <cell r="G14">
            <v>1.4635254</v>
          </cell>
          <cell r="H14">
            <v>1.518844742857143</v>
          </cell>
          <cell r="I14">
            <v>1.6571431000000001</v>
          </cell>
          <cell r="J14">
            <v>1.8752057</v>
          </cell>
          <cell r="K14">
            <v>2.2184723000000002</v>
          </cell>
          <cell r="L14">
            <v>2.5036021000000002</v>
          </cell>
          <cell r="M14">
            <v>2.8810785000000001</v>
          </cell>
          <cell r="N14">
            <v>3.4541662999999998</v>
          </cell>
          <cell r="O14">
            <v>4.0104408999999999</v>
          </cell>
          <cell r="P14">
            <v>5.1888655999999997</v>
          </cell>
          <cell r="Q14">
            <v>6.5955298999999998</v>
          </cell>
          <cell r="R14">
            <v>8.4369370999999997</v>
          </cell>
        </row>
        <row r="16">
          <cell r="A16">
            <v>6</v>
          </cell>
          <cell r="B16">
            <v>1.1459149</v>
          </cell>
          <cell r="C16">
            <v>1.3252031</v>
          </cell>
          <cell r="D16">
            <v>1.6218264</v>
          </cell>
          <cell r="E16">
            <v>1.9090290000000001</v>
          </cell>
          <cell r="F16">
            <v>1.9965132999999999</v>
          </cell>
          <cell r="G16">
            <v>2.0367796</v>
          </cell>
          <cell r="H16">
            <v>2.1050928857142859</v>
          </cell>
          <cell r="I16">
            <v>2.2758761000000001</v>
          </cell>
          <cell r="J16">
            <v>2.5430617</v>
          </cell>
          <cell r="K16">
            <v>2.9603187000000002</v>
          </cell>
          <cell r="L16">
            <v>3.3046755999999999</v>
          </cell>
          <cell r="M16">
            <v>3.7584496000000001</v>
          </cell>
          <cell r="N16">
            <v>4.4445058</v>
          </cell>
          <cell r="O16">
            <v>5.1086415000000001</v>
          </cell>
          <cell r="P16">
            <v>6.5135622</v>
          </cell>
          <cell r="Q16">
            <v>8.1907002000000002</v>
          </cell>
          <cell r="R16">
            <v>10.388566000000001</v>
          </cell>
        </row>
        <row r="17">
          <cell r="A17">
            <v>7</v>
          </cell>
          <cell r="B17">
            <v>1.5785998000000001</v>
          </cell>
          <cell r="C17">
            <v>1.7984391</v>
          </cell>
          <cell r="D17">
            <v>2.1574716999999999</v>
          </cell>
          <cell r="E17">
            <v>2.5009397</v>
          </cell>
          <cell r="F17">
            <v>2.6049272000000001</v>
          </cell>
          <cell r="G17">
            <v>2.6527034</v>
          </cell>
          <cell r="H17">
            <v>2.733475485714286</v>
          </cell>
          <cell r="I17">
            <v>2.9354057</v>
          </cell>
          <cell r="J17">
            <v>3.2496526000000001</v>
          </cell>
          <cell r="K17">
            <v>3.737816</v>
          </cell>
          <cell r="L17">
            <v>4.1390161000000001</v>
          </cell>
          <cell r="M17">
            <v>4.6661922999999996</v>
          </cell>
          <cell r="N17">
            <v>5.4613696000000003</v>
          </cell>
          <cell r="O17">
            <v>6.2302046999999998</v>
          </cell>
          <cell r="P17">
            <v>7.8564368</v>
          </cell>
          <cell r="Q17">
            <v>9.7998017999999991</v>
          </cell>
          <cell r="R17">
            <v>12.350538</v>
          </cell>
        </row>
        <row r="18">
          <cell r="A18">
            <v>8</v>
          </cell>
          <cell r="B18">
            <v>2.0513249999999998</v>
          </cell>
          <cell r="C18">
            <v>2.310549</v>
          </cell>
          <cell r="D18">
            <v>2.7299026</v>
          </cell>
          <cell r="E18">
            <v>3.1275623000000001</v>
          </cell>
          <cell r="F18">
            <v>3.2474251999999999</v>
          </cell>
          <cell r="G18">
            <v>3.3024238000000001</v>
          </cell>
          <cell r="H18">
            <v>3.3951742857142864</v>
          </cell>
          <cell r="I18">
            <v>3.6270505000000002</v>
          </cell>
          <cell r="J18">
            <v>3.9865469</v>
          </cell>
          <cell r="K18">
            <v>4.5429594</v>
          </cell>
          <cell r="L18">
            <v>4.9989803000000004</v>
          </cell>
          <cell r="M18">
            <v>5.5971317999999997</v>
          </cell>
          <cell r="N18">
            <v>6.4982476</v>
          </cell>
          <cell r="O18">
            <v>7.3692010999999997</v>
          </cell>
          <cell r="P18">
            <v>9.2125842999999996</v>
          </cell>
          <cell r="Q18">
            <v>11.418851999999999</v>
          </cell>
          <cell r="R18">
            <v>14.319725999999999</v>
          </cell>
        </row>
        <row r="19">
          <cell r="A19">
            <v>9</v>
          </cell>
          <cell r="B19">
            <v>2.5574878000000001</v>
          </cell>
          <cell r="C19">
            <v>2.8549112000000001</v>
          </cell>
          <cell r="D19">
            <v>3.3325879999999999</v>
          </cell>
          <cell r="E19">
            <v>3.7825373</v>
          </cell>
          <cell r="F19">
            <v>3.9177097000000001</v>
          </cell>
          <cell r="G19">
            <v>3.9796729000000002</v>
          </cell>
          <cell r="H19">
            <v>4.0839746999999997</v>
          </cell>
          <cell r="I19">
            <v>4.3447291999999997</v>
          </cell>
          <cell r="J19">
            <v>4.7478851999999998</v>
          </cell>
          <cell r="K19">
            <v>5.3702433000000003</v>
          </cell>
          <cell r="L19">
            <v>5.8793499999999996</v>
          </cell>
          <cell r="M19">
            <v>6.5464114000000002</v>
          </cell>
          <cell r="N19">
            <v>7.5507834000000003</v>
          </cell>
          <cell r="O19">
            <v>8.5217019000000001</v>
          </cell>
          <cell r="P19">
            <v>10.578816</v>
          </cell>
          <cell r="Q19">
            <v>13.045311999999999</v>
          </cell>
          <cell r="R19">
            <v>16.294180999999998</v>
          </cell>
        </row>
        <row r="20">
          <cell r="A20">
            <v>10</v>
          </cell>
          <cell r="B20">
            <v>3.0920450000000002</v>
          </cell>
          <cell r="C20">
            <v>3.4265254999999999</v>
          </cell>
          <cell r="D20">
            <v>3.9606648</v>
          </cell>
          <cell r="E20">
            <v>4.4611768999999999</v>
          </cell>
          <cell r="F20">
            <v>4.6111510999999998</v>
          </cell>
          <cell r="G20">
            <v>4.6798481000000001</v>
          </cell>
          <cell r="H20">
            <v>4.7953213857142867</v>
          </cell>
          <cell r="I20">
            <v>5.0840046000000001</v>
          </cell>
          <cell r="J20">
            <v>5.5294176999999998</v>
          </cell>
          <cell r="K20">
            <v>6.2157070000000001</v>
          </cell>
          <cell r="L20">
            <v>6.7763932999999996</v>
          </cell>
          <cell r="M20">
            <v>7.5105823000000003</v>
          </cell>
          <cell r="N20">
            <v>8.6159128000000003</v>
          </cell>
          <cell r="O20">
            <v>9.6849679000000002</v>
          </cell>
          <cell r="P20">
            <v>11.952946000000001</v>
          </cell>
          <cell r="Q20">
            <v>14.677471000000001</v>
          </cell>
          <cell r="R20">
            <v>18.272611000000001</v>
          </cell>
        </row>
        <row r="22">
          <cell r="A22">
            <v>11</v>
          </cell>
          <cell r="B22">
            <v>3.6510604</v>
          </cell>
          <cell r="C22">
            <v>4.0215214000000001</v>
          </cell>
          <cell r="D22">
            <v>4.6104080999999999</v>
          </cell>
          <cell r="E22">
            <v>5.1599187000000004</v>
          </cell>
          <cell r="F22">
            <v>5.3242381999999999</v>
          </cell>
          <cell r="G22">
            <v>5.3994621</v>
          </cell>
          <cell r="H22">
            <v>5.5257675285714276</v>
          </cell>
          <cell r="I22">
            <v>5.8415311000000001</v>
          </cell>
          <cell r="J22">
            <v>6.3279562</v>
          </cell>
          <cell r="K22">
            <v>7.0763989</v>
          </cell>
          <cell r="L22">
            <v>7.6873424000000004</v>
          </cell>
          <cell r="M22">
            <v>8.4871020999999995</v>
          </cell>
          <cell r="N22">
            <v>9.6913964999999997</v>
          </cell>
          <cell r="O22">
            <v>10.857013</v>
          </cell>
          <cell r="P22">
            <v>13.333411999999999</v>
          </cell>
          <cell r="Q22">
            <v>16.314128</v>
          </cell>
          <cell r="R22">
            <v>20.254127</v>
          </cell>
        </row>
        <row r="23">
          <cell r="A23">
            <v>12</v>
          </cell>
          <cell r="B23">
            <v>4.2314017000000002</v>
          </cell>
          <cell r="C23">
            <v>4.6368388999999999</v>
          </cell>
          <cell r="D23">
            <v>5.2788971</v>
          </cell>
          <cell r="E23">
            <v>5.8759866000000001</v>
          </cell>
          <cell r="F23">
            <v>6.0542394000000002</v>
          </cell>
          <cell r="G23">
            <v>6.1358037000000003</v>
          </cell>
          <cell r="H23">
            <v>6.2726364428571433</v>
          </cell>
          <cell r="I23">
            <v>6.6147182999999998</v>
          </cell>
          <cell r="J23">
            <v>7.1410418</v>
          </cell>
          <cell r="K23">
            <v>7.9500554000000001</v>
          </cell>
          <cell r="L23">
            <v>8.6100840999999999</v>
          </cell>
          <cell r="M23">
            <v>9.4740395999999993</v>
          </cell>
          <cell r="N23">
            <v>10.775546</v>
          </cell>
          <cell r="O23">
            <v>12.036349</v>
          </cell>
          <cell r="P23">
            <v>14.719061999999999</v>
          </cell>
          <cell r="Q23">
            <v>17.954408000000001</v>
          </cell>
          <cell r="R23">
            <v>22.238091000000001</v>
          </cell>
        </row>
        <row r="24">
          <cell r="A24">
            <v>13</v>
          </cell>
          <cell r="B24">
            <v>4.8305332999999999</v>
          </cell>
          <cell r="C24">
            <v>5.2700132000000002</v>
          </cell>
          <cell r="D24">
            <v>5.9637950000000002</v>
          </cell>
          <cell r="E24">
            <v>6.6071707999999996</v>
          </cell>
          <cell r="F24">
            <v>6.7989834</v>
          </cell>
          <cell r="G24">
            <v>6.8867191999999999</v>
          </cell>
          <cell r="H24">
            <v>7.0338038285714308</v>
          </cell>
          <cell r="I24">
            <v>7.4015154000000001</v>
          </cell>
          <cell r="J24">
            <v>7.9667345000000003</v>
          </cell>
          <cell r="K24">
            <v>8.8348993</v>
          </cell>
          <cell r="L24">
            <v>9.5429654999999993</v>
          </cell>
          <cell r="M24">
            <v>10.469892</v>
          </cell>
          <cell r="N24">
            <v>11.867057000000001</v>
          </cell>
          <cell r="O24">
            <v>13.221835</v>
          </cell>
          <cell r="P24">
            <v>16.109023000000001</v>
          </cell>
          <cell r="Q24">
            <v>19.597657999999999</v>
          </cell>
          <cell r="R24">
            <v>24.224034</v>
          </cell>
        </row>
        <row r="25">
          <cell r="A25">
            <v>14</v>
          </cell>
          <cell r="B25">
            <v>5.4463716</v>
          </cell>
          <cell r="C25">
            <v>5.9190275999999997</v>
          </cell>
          <cell r="D25">
            <v>6.6632002000000004</v>
          </cell>
          <cell r="E25">
            <v>7.3516805999999999</v>
          </cell>
          <cell r="F25">
            <v>7.5567127000000003</v>
          </cell>
          <cell r="G25">
            <v>7.6504665000000003</v>
          </cell>
          <cell r="H25">
            <v>7.8075527285714275</v>
          </cell>
          <cell r="I25">
            <v>8.2002682999999994</v>
          </cell>
          <cell r="J25">
            <v>8.8034747000000007</v>
          </cell>
          <cell r="K25">
            <v>9.7295081000000003</v>
          </cell>
          <cell r="L25">
            <v>10.484667999999999</v>
          </cell>
          <cell r="M25">
            <v>11.473464</v>
          </cell>
          <cell r="N25">
            <v>12.964899000000001</v>
          </cell>
          <cell r="O25">
            <v>14.412575</v>
          </cell>
          <cell r="P25">
            <v>17.502617000000001</v>
          </cell>
          <cell r="Q25">
            <v>21.243378</v>
          </cell>
          <cell r="R25">
            <v>26.211600000000001</v>
          </cell>
        </row>
        <row r="26">
          <cell r="A26">
            <v>15</v>
          </cell>
          <cell r="B26">
            <v>6.0771816000000003</v>
          </cell>
          <cell r="C26">
            <v>6.5822088000000001</v>
          </cell>
          <cell r="D26">
            <v>7.3755420000000003</v>
          </cell>
          <cell r="E26">
            <v>8.1080427999999998</v>
          </cell>
          <cell r="F26">
            <v>8.3259830000000008</v>
          </cell>
          <cell r="G26">
            <v>8.4256142000000001</v>
          </cell>
          <cell r="H26">
            <v>8.5924734571428569</v>
          </cell>
          <cell r="I26">
            <v>9.0096215999999991</v>
          </cell>
          <cell r="J26">
            <v>9.6499872999999994</v>
          </cell>
          <cell r="K26">
            <v>10.632723</v>
          </cell>
          <cell r="L26">
            <v>11.43412</v>
          </cell>
          <cell r="M26">
            <v>12.483791999999999</v>
          </cell>
          <cell r="N26">
            <v>14.068244</v>
          </cell>
          <cell r="O26">
            <v>15.607853</v>
          </cell>
          <cell r="P26">
            <v>18.89931</v>
          </cell>
          <cell r="Q26">
            <v>22.891179000000001</v>
          </cell>
          <cell r="R26">
            <v>28.200517999999999</v>
          </cell>
        </row>
        <row r="28">
          <cell r="A28">
            <v>16</v>
          </cell>
          <cell r="B28">
            <v>6.7215018999999998</v>
          </cell>
          <cell r="C28">
            <v>7.2581512999999998</v>
          </cell>
          <cell r="D28">
            <v>8.0995068000000003</v>
          </cell>
          <cell r="E28">
            <v>8.8750289000000002</v>
          </cell>
          <cell r="F28">
            <v>9.1055908999999993</v>
          </cell>
          <cell r="G28">
            <v>9.2109702000000002</v>
          </cell>
          <cell r="H28">
            <v>9.387392771428571</v>
          </cell>
          <cell r="I28">
            <v>9.8284491999999997</v>
          </cell>
          <cell r="J28">
            <v>10.505216000000001</v>
          </cell>
          <cell r="K28">
            <v>11.543588</v>
          </cell>
          <cell r="L28">
            <v>12.390442</v>
          </cell>
          <cell r="M28">
            <v>13.500083</v>
          </cell>
          <cell r="N28">
            <v>15.176417000000001</v>
          </cell>
          <cell r="O28">
            <v>16.807086999999999</v>
          </cell>
          <cell r="P28">
            <v>20.298672</v>
          </cell>
          <cell r="Q28">
            <v>24.540749999999999</v>
          </cell>
          <cell r="R28">
            <v>30.190572</v>
          </cell>
        </row>
        <row r="29">
          <cell r="A29">
            <v>17</v>
          </cell>
          <cell r="B29">
            <v>7.3780887000000002</v>
          </cell>
          <cell r="C29">
            <v>7.9456619000000002</v>
          </cell>
          <cell r="D29">
            <v>8.8339832000000005</v>
          </cell>
          <cell r="E29">
            <v>9.6516026999999998</v>
          </cell>
          <cell r="F29">
            <v>9.8945220999999997</v>
          </cell>
          <cell r="G29">
            <v>10.00553</v>
          </cell>
          <cell r="H29">
            <v>10.19132257142857</v>
          </cell>
          <cell r="I29">
            <v>10.655804</v>
          </cell>
          <cell r="J29">
            <v>11.368273</v>
          </cell>
          <cell r="K29">
            <v>12.461302999999999</v>
          </cell>
          <cell r="L29">
            <v>13.352897</v>
          </cell>
          <cell r="M29">
            <v>14.521678</v>
          </cell>
          <cell r="N29">
            <v>16.288858999999999</v>
          </cell>
          <cell r="O29">
            <v>18.009799999999998</v>
          </cell>
          <cell r="P29">
            <v>21.700354999999998</v>
          </cell>
          <cell r="Q29">
            <v>26.191842999999999</v>
          </cell>
          <cell r="R29">
            <v>32.181593999999997</v>
          </cell>
        </row>
        <row r="30">
          <cell r="A30">
            <v>18</v>
          </cell>
          <cell r="B30">
            <v>8.0458733999999996</v>
          </cell>
          <cell r="C30">
            <v>8.6437182000000004</v>
          </cell>
          <cell r="D30">
            <v>9.5780215000000002</v>
          </cell>
          <cell r="E30">
            <v>10.436881</v>
          </cell>
          <cell r="F30">
            <v>10.691913</v>
          </cell>
          <cell r="G30">
            <v>10.808439999999999</v>
          </cell>
          <cell r="H30">
            <v>11.003423428571427</v>
          </cell>
          <cell r="I30">
            <v>11.490881999999999</v>
          </cell>
          <cell r="J30">
            <v>12.238408</v>
          </cell>
          <cell r="K30">
            <v>13.385191000000001</v>
          </cell>
          <cell r="L30">
            <v>14.320866000000001</v>
          </cell>
          <cell r="M30">
            <v>15.548024</v>
          </cell>
          <cell r="N30">
            <v>17.405103</v>
          </cell>
          <cell r="O30">
            <v>19.215593999999999</v>
          </cell>
          <cell r="P30">
            <v>23.104071000000001</v>
          </cell>
          <cell r="Q30">
            <v>27.844255</v>
          </cell>
          <cell r="R30">
            <v>34.173445000000001</v>
          </cell>
        </row>
        <row r="31">
          <cell r="A31">
            <v>19</v>
          </cell>
          <cell r="B31">
            <v>8.7239307999999998</v>
          </cell>
          <cell r="C31">
            <v>9.3514362999999996</v>
          </cell>
          <cell r="D31">
            <v>10.330803</v>
          </cell>
          <cell r="E31">
            <v>11.230104000000001</v>
          </cell>
          <cell r="F31">
            <v>11.497021</v>
          </cell>
          <cell r="G31">
            <v>11.618964</v>
          </cell>
          <cell r="H31">
            <v>11.822971999999998</v>
          </cell>
          <cell r="I31">
            <v>12.332992000000001</v>
          </cell>
          <cell r="J31">
            <v>13.114977</v>
          </cell>
          <cell r="K31">
            <v>14.314674999999999</v>
          </cell>
          <cell r="L31">
            <v>15.29382</v>
          </cell>
          <cell r="M31">
            <v>16.578651000000001</v>
          </cell>
          <cell r="N31">
            <v>18.524754000000001</v>
          </cell>
          <cell r="O31">
            <v>20.424133999999999</v>
          </cell>
          <cell r="P31">
            <v>24.509578999999999</v>
          </cell>
          <cell r="Q31">
            <v>29.497819</v>
          </cell>
          <cell r="R31">
            <v>36.166013999999997</v>
          </cell>
        </row>
        <row r="32">
          <cell r="A32">
            <v>20</v>
          </cell>
          <cell r="B32">
            <v>9.4114532999999998</v>
          </cell>
          <cell r="C32">
            <v>10.068046000000001</v>
          </cell>
          <cell r="D32">
            <v>11.091618</v>
          </cell>
          <cell r="E32">
            <v>12.030614999999999</v>
          </cell>
          <cell r="F32">
            <v>12.309203</v>
          </cell>
          <cell r="G32">
            <v>12.436465999999999</v>
          </cell>
          <cell r="H32">
            <v>12.649343714285715</v>
          </cell>
          <cell r="I32">
            <v>13.181538</v>
          </cell>
          <cell r="J32">
            <v>13.997423</v>
          </cell>
          <cell r="K32">
            <v>15.249257</v>
          </cell>
          <cell r="L32">
            <v>16.271305000000002</v>
          </cell>
          <cell r="M32">
            <v>17.613157000000001</v>
          </cell>
          <cell r="N32">
            <v>19.647476000000001</v>
          </cell>
          <cell r="O32">
            <v>21.635137</v>
          </cell>
          <cell r="P32">
            <v>25.916678000000001</v>
          </cell>
          <cell r="Q32">
            <v>31.152394000000001</v>
          </cell>
          <cell r="R32">
            <v>38.159208</v>
          </cell>
        </row>
        <row r="34">
          <cell r="A34">
            <v>21</v>
          </cell>
          <cell r="B34">
            <v>10.107732</v>
          </cell>
          <cell r="C34">
            <v>10.792873</v>
          </cell>
          <cell r="D34">
            <v>11.859842</v>
          </cell>
          <cell r="E34">
            <v>12.837835999999999</v>
          </cell>
          <cell r="F34">
            <v>13.127898</v>
          </cell>
          <cell r="G34">
            <v>13.260391</v>
          </cell>
          <cell r="H34">
            <v>13.481993285714282</v>
          </cell>
          <cell r="I34">
            <v>14.035999</v>
          </cell>
          <cell r="J34">
            <v>14.885263999999999</v>
          </cell>
          <cell r="K34">
            <v>16.188507000000001</v>
          </cell>
          <cell r="L34">
            <v>17.252929000000002</v>
          </cell>
          <cell r="M34">
            <v>18.651192999999999</v>
          </cell>
          <cell r="N34">
            <v>20.772978999999999</v>
          </cell>
          <cell r="O34">
            <v>22.848358999999999</v>
          </cell>
          <cell r="P34">
            <v>27.325196999999999</v>
          </cell>
          <cell r="Q34">
            <v>32.807865</v>
          </cell>
          <cell r="R34">
            <v>40.152949999999997</v>
          </cell>
        </row>
        <row r="35">
          <cell r="A35">
            <v>22</v>
          </cell>
          <cell r="B35">
            <v>10.812139999999999</v>
          </cell>
          <cell r="C35">
            <v>11.525321</v>
          </cell>
          <cell r="D35">
            <v>12.634929</v>
          </cell>
          <cell r="E35">
            <v>13.651263999999999</v>
          </cell>
          <cell r="F35">
            <v>13.952612</v>
          </cell>
          <cell r="G35">
            <v>14.090252</v>
          </cell>
          <cell r="H35">
            <v>14.320443142857146</v>
          </cell>
          <cell r="I35">
            <v>14.895921</v>
          </cell>
          <cell r="J35">
            <v>15.778076</v>
          </cell>
          <cell r="K35">
            <v>17.132045999999999</v>
          </cell>
          <cell r="L35">
            <v>18.238347999999998</v>
          </cell>
          <cell r="M35">
            <v>19.692457999999998</v>
          </cell>
          <cell r="N35">
            <v>21.901012999999999</v>
          </cell>
          <cell r="O35">
            <v>24.063590000000001</v>
          </cell>
          <cell r="P35">
            <v>28.734991000000001</v>
          </cell>
          <cell r="Q35">
            <v>34.464131000000002</v>
          </cell>
          <cell r="R35">
            <v>42.147174999999997</v>
          </cell>
        </row>
        <row r="36">
          <cell r="A36">
            <v>23</v>
          </cell>
          <cell r="B36">
            <v>11.52412</v>
          </cell>
          <cell r="C36">
            <v>12.264862000000001</v>
          </cell>
          <cell r="D36">
            <v>13.416392999999999</v>
          </cell>
          <cell r="E36">
            <v>14.470451000000001</v>
          </cell>
          <cell r="F36">
            <v>14.782909</v>
          </cell>
          <cell r="G36">
            <v>14.925617000000001</v>
          </cell>
          <cell r="H36">
            <v>15.164269000000004</v>
          </cell>
          <cell r="I36">
            <v>15.760899</v>
          </cell>
          <cell r="J36">
            <v>16.675485999999999</v>
          </cell>
          <cell r="K36">
            <v>18.079543999999999</v>
          </cell>
          <cell r="L36">
            <v>19.227262</v>
          </cell>
          <cell r="M36">
            <v>20.736687</v>
          </cell>
          <cell r="N36">
            <v>23.031358999999998</v>
          </cell>
          <cell r="O36">
            <v>25.280650000000001</v>
          </cell>
          <cell r="P36">
            <v>30.145931999999998</v>
          </cell>
          <cell r="Q36">
            <v>36.121108</v>
          </cell>
          <cell r="R36">
            <v>44.141827999999997</v>
          </cell>
        </row>
        <row r="37">
          <cell r="A37">
            <v>24</v>
          </cell>
          <cell r="B37">
            <v>12.243174</v>
          </cell>
          <cell r="C37">
            <v>13.011023</v>
          </cell>
          <cell r="D37">
            <v>14.203802</v>
          </cell>
          <cell r="E37">
            <v>15.295</v>
          </cell>
          <cell r="F37">
            <v>15.618403000000001</v>
          </cell>
          <cell r="G37">
            <v>15.766104</v>
          </cell>
          <cell r="H37">
            <v>16.013095999999997</v>
          </cell>
          <cell r="I37">
            <v>16.630576000000001</v>
          </cell>
          <cell r="J37">
            <v>17.577164</v>
          </cell>
          <cell r="K37">
            <v>19.030708000000001</v>
          </cell>
          <cell r="L37">
            <v>20.219405999999999</v>
          </cell>
          <cell r="M37">
            <v>21.783646000000001</v>
          </cell>
          <cell r="N37">
            <v>24.163826</v>
          </cell>
          <cell r="O37">
            <v>26.499376999999999</v>
          </cell>
          <cell r="P37">
            <v>31.557912000000002</v>
          </cell>
          <cell r="Q37">
            <v>37.778722999999999</v>
          </cell>
          <cell r="R37">
            <v>46.136862999999998</v>
          </cell>
        </row>
        <row r="38">
          <cell r="A38">
            <v>25</v>
          </cell>
          <cell r="B38">
            <v>12.968857</v>
          </cell>
          <cell r="C38">
            <v>13.763382</v>
          </cell>
          <cell r="D38">
            <v>14.996767999999999</v>
          </cell>
          <cell r="E38">
            <v>16.124555000000001</v>
          </cell>
          <cell r="F38">
            <v>16.458746999999999</v>
          </cell>
          <cell r="G38">
            <v>16.611370000000001</v>
          </cell>
          <cell r="H38">
            <v>16.866588571428569</v>
          </cell>
          <cell r="I38">
            <v>17.504635</v>
          </cell>
          <cell r="J38">
            <v>18.482813</v>
          </cell>
          <cell r="K38">
            <v>19.985275999999999</v>
          </cell>
          <cell r="L38">
            <v>21.214544</v>
          </cell>
          <cell r="M38">
            <v>22.833130000000001</v>
          </cell>
          <cell r="N38">
            <v>25.298244</v>
          </cell>
          <cell r="O38">
            <v>27.719633999999999</v>
          </cell>
          <cell r="P38">
            <v>32.970835999999998</v>
          </cell>
          <cell r="Q38">
            <v>39.436912999999997</v>
          </cell>
          <cell r="R38">
            <v>48.132240000000003</v>
          </cell>
        </row>
        <row r="40">
          <cell r="A40">
            <v>26</v>
          </cell>
          <cell r="B40">
            <v>13.700766</v>
          </cell>
          <cell r="C40">
            <v>14.521558000000001</v>
          </cell>
          <cell r="D40">
            <v>15.794945</v>
          </cell>
          <cell r="E40">
            <v>16.958798000000002</v>
          </cell>
          <cell r="F40">
            <v>17.303629000000001</v>
          </cell>
          <cell r="G40">
            <v>17.461109</v>
          </cell>
          <cell r="H40">
            <v>17.72444614285714</v>
          </cell>
          <cell r="I40">
            <v>18.382788999999999</v>
          </cell>
          <cell r="J40">
            <v>19.392171999999999</v>
          </cell>
          <cell r="K40">
            <v>20.943014999999999</v>
          </cell>
          <cell r="L40">
            <v>22.212465000000002</v>
          </cell>
          <cell r="M40">
            <v>23.884954</v>
          </cell>
          <cell r="N40">
            <v>26.434463999999998</v>
          </cell>
          <cell r="O40">
            <v>28.941296000000001</v>
          </cell>
          <cell r="P40">
            <v>34.384621000000003</v>
          </cell>
          <cell r="Q40">
            <v>41.095624000000001</v>
          </cell>
          <cell r="R40">
            <v>50.127924</v>
          </cell>
        </row>
        <row r="41">
          <cell r="A41">
            <v>27</v>
          </cell>
          <cell r="B41">
            <v>14.438537</v>
          </cell>
          <cell r="C41">
            <v>15.285207</v>
          </cell>
          <cell r="D41">
            <v>16.598016999999999</v>
          </cell>
          <cell r="E41">
            <v>17.797440999999999</v>
          </cell>
          <cell r="F41">
            <v>18.152771000000001</v>
          </cell>
          <cell r="G41">
            <v>18.315042999999999</v>
          </cell>
          <cell r="H41">
            <v>18.58639642857143</v>
          </cell>
          <cell r="I41">
            <v>19.264779999999998</v>
          </cell>
          <cell r="J41">
            <v>20.305002000000002</v>
          </cell>
          <cell r="K41">
            <v>21.903717</v>
          </cell>
          <cell r="L41">
            <v>23.212980999999999</v>
          </cell>
          <cell r="M41">
            <v>24.938955</v>
          </cell>
          <cell r="N41">
            <v>27.572351999999999</v>
          </cell>
          <cell r="O41">
            <v>30.164254</v>
          </cell>
          <cell r="P41">
            <v>35.799191999999998</v>
          </cell>
          <cell r="Q41">
            <v>42.754807</v>
          </cell>
          <cell r="R41">
            <v>52.123885999999999</v>
          </cell>
        </row>
        <row r="42">
          <cell r="A42">
            <v>28</v>
          </cell>
          <cell r="B42">
            <v>15.181839</v>
          </cell>
          <cell r="C42">
            <v>16.054017999999999</v>
          </cell>
          <cell r="D42">
            <v>17.405702000000002</v>
          </cell>
          <cell r="E42">
            <v>18.640224</v>
          </cell>
          <cell r="F42">
            <v>19.005918999999999</v>
          </cell>
          <cell r="G42">
            <v>19.172923999999998</v>
          </cell>
          <cell r="H42">
            <v>19.452196571428573</v>
          </cell>
          <cell r="I42">
            <v>20.150378</v>
          </cell>
          <cell r="J42">
            <v>21.22109</v>
          </cell>
          <cell r="K42">
            <v>22.867194000000001</v>
          </cell>
          <cell r="L42">
            <v>24.215923</v>
          </cell>
          <cell r="M42">
            <v>25.994985</v>
          </cell>
          <cell r="N42">
            <v>28.711790000000001</v>
          </cell>
          <cell r="O42">
            <v>31.388411000000001</v>
          </cell>
          <cell r="P42">
            <v>37.214486000000001</v>
          </cell>
          <cell r="Q42">
            <v>44.41442</v>
          </cell>
          <cell r="R42">
            <v>54.120097999999999</v>
          </cell>
        </row>
        <row r="43">
          <cell r="A43">
            <v>29</v>
          </cell>
          <cell r="B43">
            <v>15.93037</v>
          </cell>
          <cell r="C43">
            <v>16.827704000000001</v>
          </cell>
          <cell r="D43">
            <v>18.217739999999999</v>
          </cell>
          <cell r="E43">
            <v>19.486910999999999</v>
          </cell>
          <cell r="F43">
            <v>19.862843999999999</v>
          </cell>
          <cell r="G43">
            <v>20.034523</v>
          </cell>
          <cell r="H43">
            <v>20.321622142857144</v>
          </cell>
          <cell r="I43">
            <v>21.039370000000002</v>
          </cell>
          <cell r="J43">
            <v>22.140241</v>
          </cell>
          <cell r="K43">
            <v>23.833275</v>
          </cell>
          <cell r="L43">
            <v>25.221138</v>
          </cell>
          <cell r="M43">
            <v>27.052911999999999</v>
          </cell>
          <cell r="N43">
            <v>29.852668999999999</v>
          </cell>
          <cell r="O43">
            <v>32.613678</v>
          </cell>
          <cell r="P43">
            <v>38.630445000000002</v>
          </cell>
          <cell r="Q43">
            <v>46.074427</v>
          </cell>
          <cell r="R43">
            <v>56.116537999999998</v>
          </cell>
        </row>
        <row r="44">
          <cell r="A44">
            <v>30</v>
          </cell>
          <cell r="B44">
            <v>16.683855999999999</v>
          </cell>
          <cell r="C44">
            <v>17.606007999999999</v>
          </cell>
          <cell r="D44">
            <v>19.033895000000001</v>
          </cell>
          <cell r="E44">
            <v>20.337285999999999</v>
          </cell>
          <cell r="F44">
            <v>20.723334999999999</v>
          </cell>
          <cell r="G44">
            <v>20.899633999999999</v>
          </cell>
          <cell r="H44">
            <v>21.194471428571429</v>
          </cell>
          <cell r="I44">
            <v>21.931564999999999</v>
          </cell>
          <cell r="J44">
            <v>23.062279</v>
          </cell>
          <cell r="K44">
            <v>24.801805000000002</v>
          </cell>
          <cell r="L44">
            <v>26.228487999999999</v>
          </cell>
          <cell r="M44">
            <v>28.112615000000002</v>
          </cell>
          <cell r="N44">
            <v>30.994893000000001</v>
          </cell>
          <cell r="O44">
            <v>33.839979</v>
          </cell>
          <cell r="P44">
            <v>40.047015999999999</v>
          </cell>
          <cell r="Q44">
            <v>47.734794000000001</v>
          </cell>
          <cell r="R44">
            <v>58.113185999999999</v>
          </cell>
        </row>
        <row r="46">
          <cell r="A46">
            <v>31</v>
          </cell>
          <cell r="B46">
            <v>17.442043999999999</v>
          </cell>
          <cell r="C46">
            <v>18.38869</v>
          </cell>
          <cell r="D46">
            <v>19.853950000000001</v>
          </cell>
          <cell r="E46">
            <v>21.191151999999999</v>
          </cell>
          <cell r="F46">
            <v>21.587201</v>
          </cell>
          <cell r="G46">
            <v>21.768068</v>
          </cell>
          <cell r="H46">
            <v>22.070559714285711</v>
          </cell>
          <cell r="I46">
            <v>22.826789000000002</v>
          </cell>
          <cell r="J46">
            <v>23.987044000000001</v>
          </cell>
          <cell r="K46">
            <v>25.772644</v>
          </cell>
          <cell r="L46">
            <v>27.237845</v>
          </cell>
          <cell r="M46">
            <v>29.173985999999999</v>
          </cell>
          <cell r="N46">
            <v>32.138375000000003</v>
          </cell>
          <cell r="O46">
            <v>35.067241000000003</v>
          </cell>
          <cell r="P46">
            <v>41.464154999999998</v>
          </cell>
          <cell r="Q46">
            <v>49.395491999999997</v>
          </cell>
          <cell r="R46">
            <v>60.110024000000003</v>
          </cell>
        </row>
        <row r="47">
          <cell r="A47">
            <v>32</v>
          </cell>
          <cell r="B47">
            <v>18.204701</v>
          </cell>
          <cell r="C47">
            <v>19.175532</v>
          </cell>
          <cell r="D47">
            <v>20.677709</v>
          </cell>
          <cell r="E47">
            <v>22.048328999999999</v>
          </cell>
          <cell r="F47">
            <v>22.454267000000002</v>
          </cell>
          <cell r="G47">
            <v>22.639652000000002</v>
          </cell>
          <cell r="H47">
            <v>22.949716857142853</v>
          </cell>
          <cell r="I47">
            <v>23.724879000000001</v>
          </cell>
          <cell r="J47">
            <v>24.914387999999999</v>
          </cell>
          <cell r="K47">
            <v>26.745663</v>
          </cell>
          <cell r="L47">
            <v>28.249096000000002</v>
          </cell>
          <cell r="M47">
            <v>30.236924999999999</v>
          </cell>
          <cell r="N47">
            <v>33.283034999999998</v>
          </cell>
          <cell r="O47">
            <v>36.295400999999998</v>
          </cell>
          <cell r="P47">
            <v>42.881819</v>
          </cell>
          <cell r="Q47">
            <v>51.056494999999998</v>
          </cell>
          <cell r="R47">
            <v>62.107036000000001</v>
          </cell>
        </row>
        <row r="48">
          <cell r="A48">
            <v>33</v>
          </cell>
          <cell r="B48">
            <v>18.971613000000001</v>
          </cell>
          <cell r="C48">
            <v>19.966332999999999</v>
          </cell>
          <cell r="D48">
            <v>21.504988000000001</v>
          </cell>
          <cell r="E48">
            <v>22.908650999999999</v>
          </cell>
          <cell r="F48">
            <v>23.324370999999999</v>
          </cell>
          <cell r="G48">
            <v>23.514226000000001</v>
          </cell>
          <cell r="H48">
            <v>23.831787142857145</v>
          </cell>
          <cell r="I48">
            <v>24.625689999999999</v>
          </cell>
          <cell r="J48">
            <v>25.844176999999998</v>
          </cell>
          <cell r="K48">
            <v>27.720745000000001</v>
          </cell>
          <cell r="L48">
            <v>29.262135000000001</v>
          </cell>
          <cell r="M48">
            <v>31.301342000000002</v>
          </cell>
          <cell r="N48">
            <v>34.428801999999997</v>
          </cell>
          <cell r="O48">
            <v>37.524400999999997</v>
          </cell>
          <cell r="P48">
            <v>44.299970999999999</v>
          </cell>
          <cell r="Q48">
            <v>52.717781000000002</v>
          </cell>
          <cell r="R48">
            <v>64.104208</v>
          </cell>
        </row>
        <row r="49">
          <cell r="A49">
            <v>34</v>
          </cell>
          <cell r="B49">
            <v>19.742583</v>
          </cell>
          <cell r="C49">
            <v>20.760907</v>
          </cell>
          <cell r="D49">
            <v>22.335619999999999</v>
          </cell>
          <cell r="E49">
            <v>23.771964000000001</v>
          </cell>
          <cell r="F49">
            <v>24.197364</v>
          </cell>
          <cell r="G49">
            <v>24.391643999999999</v>
          </cell>
          <cell r="H49">
            <v>24.716627428571428</v>
          </cell>
          <cell r="I49">
            <v>25.529086</v>
          </cell>
          <cell r="J49">
            <v>26.776285999999999</v>
          </cell>
          <cell r="K49">
            <v>28.697780999999999</v>
          </cell>
          <cell r="L49">
            <v>30.276865999999998</v>
          </cell>
          <cell r="M49">
            <v>32.367153999999999</v>
          </cell>
          <cell r="N49">
            <v>35.575609999999998</v>
          </cell>
          <cell r="O49">
            <v>38.754188999999997</v>
          </cell>
          <cell r="P49">
            <v>45.718578000000001</v>
          </cell>
          <cell r="Q49">
            <v>54.379325999999999</v>
          </cell>
          <cell r="R49">
            <v>66.101527000000004</v>
          </cell>
        </row>
        <row r="50">
          <cell r="A50">
            <v>35</v>
          </cell>
          <cell r="B50">
            <v>20.517427000000001</v>
          </cell>
          <cell r="C50">
            <v>21.559080999999999</v>
          </cell>
          <cell r="D50">
            <v>23.169447000000002</v>
          </cell>
          <cell r="E50">
            <v>24.638127999999998</v>
          </cell>
          <cell r="F50">
            <v>25.07311</v>
          </cell>
          <cell r="G50">
            <v>25.271771000000001</v>
          </cell>
          <cell r="H50">
            <v>25.60410528571429</v>
          </cell>
          <cell r="I50">
            <v>26.434940999999998</v>
          </cell>
          <cell r="J50">
            <v>27.710599999999999</v>
          </cell>
          <cell r="K50">
            <v>29.676670999999999</v>
          </cell>
          <cell r="L50">
            <v>31.293199000000001</v>
          </cell>
          <cell r="M50">
            <v>33.434283999999998</v>
          </cell>
          <cell r="N50">
            <v>36.723396999999999</v>
          </cell>
          <cell r="O50">
            <v>39.984715000000001</v>
          </cell>
          <cell r="P50">
            <v>47.137608999999998</v>
          </cell>
          <cell r="Q50">
            <v>56.041114</v>
          </cell>
          <cell r="R50">
            <v>68.098982000000007</v>
          </cell>
        </row>
        <row r="52">
          <cell r="A52">
            <v>36</v>
          </cell>
          <cell r="B52">
            <v>21.295974000000001</v>
          </cell>
          <cell r="C52">
            <v>22.360696000000001</v>
          </cell>
          <cell r="D52">
            <v>24.006326000000001</v>
          </cell>
          <cell r="E52">
            <v>25.507010000000001</v>
          </cell>
          <cell r="F52">
            <v>25.951481000000001</v>
          </cell>
          <cell r="G52">
            <v>26.154478999999998</v>
          </cell>
          <cell r="H52">
            <v>26.494096428571424</v>
          </cell>
          <cell r="I52">
            <v>27.343139999999998</v>
          </cell>
          <cell r="J52">
            <v>28.647013999999999</v>
          </cell>
          <cell r="K52">
            <v>30.657323999999999</v>
          </cell>
          <cell r="L52">
            <v>32.311053999999999</v>
          </cell>
          <cell r="M52">
            <v>34.502664000000003</v>
          </cell>
          <cell r="N52">
            <v>37.872109999999999</v>
          </cell>
          <cell r="O52">
            <v>41.215936999999997</v>
          </cell>
          <cell r="P52">
            <v>48.557037000000001</v>
          </cell>
          <cell r="Q52">
            <v>57.703127000000002</v>
          </cell>
          <cell r="R52">
            <v>70.096562000000006</v>
          </cell>
        </row>
        <row r="53">
          <cell r="A53">
            <v>37</v>
          </cell>
          <cell r="B53">
            <v>22.078066</v>
          </cell>
          <cell r="C53">
            <v>23.165602</v>
          </cell>
          <cell r="D53">
            <v>24.846122999999999</v>
          </cell>
          <cell r="E53">
            <v>26.378491</v>
          </cell>
          <cell r="F53">
            <v>26.832359</v>
          </cell>
          <cell r="G53">
            <v>27.039655</v>
          </cell>
          <cell r="H53">
            <v>27.386489571428569</v>
          </cell>
          <cell r="I53">
            <v>28.253575999999999</v>
          </cell>
          <cell r="J53">
            <v>29.585429999999999</v>
          </cell>
          <cell r="K53">
            <v>31.639655000000001</v>
          </cell>
          <cell r="L53">
            <v>33.330354</v>
          </cell>
          <cell r="M53">
            <v>35.572228000000003</v>
          </cell>
          <cell r="N53">
            <v>39.021697000000003</v>
          </cell>
          <cell r="O53">
            <v>42.447812999999996</v>
          </cell>
          <cell r="P53">
            <v>49.976835000000001</v>
          </cell>
          <cell r="Q53">
            <v>59.365349000000002</v>
          </cell>
          <cell r="R53">
            <v>72.094260000000006</v>
          </cell>
        </row>
        <row r="54">
          <cell r="A54">
            <v>38</v>
          </cell>
          <cell r="B54">
            <v>22.863557</v>
          </cell>
          <cell r="C54">
            <v>23.973662000000001</v>
          </cell>
          <cell r="D54">
            <v>25.688714000000001</v>
          </cell>
          <cell r="E54">
            <v>27.252455999999999</v>
          </cell>
          <cell r="F54">
            <v>27.715634000000001</v>
          </cell>
          <cell r="G54">
            <v>27.927188000000001</v>
          </cell>
          <cell r="H54">
            <v>28.281176285714288</v>
          </cell>
          <cell r="I54">
            <v>29.166146999999999</v>
          </cell>
          <cell r="J54">
            <v>30.525756000000001</v>
          </cell>
          <cell r="K54">
            <v>32.623584000000001</v>
          </cell>
          <cell r="L54">
            <v>34.351030000000002</v>
          </cell>
          <cell r="M54">
            <v>36.642916</v>
          </cell>
          <cell r="N54">
            <v>40.172111999999998</v>
          </cell>
          <cell r="O54">
            <v>43.680306999999999</v>
          </cell>
          <cell r="P54">
            <v>51.396980999999997</v>
          </cell>
          <cell r="Q54">
            <v>61.027766</v>
          </cell>
          <cell r="R54">
            <v>74.092066000000003</v>
          </cell>
        </row>
        <row r="55">
          <cell r="A55">
            <v>39</v>
          </cell>
          <cell r="B55">
            <v>23.652307</v>
          </cell>
          <cell r="C55">
            <v>24.784745999999998</v>
          </cell>
          <cell r="D55">
            <v>26.53398</v>
          </cell>
          <cell r="E55">
            <v>28.128799999999998</v>
          </cell>
          <cell r="F55">
            <v>28.601203999999999</v>
          </cell>
          <cell r="G55">
            <v>28.816977999999999</v>
          </cell>
          <cell r="H55">
            <v>29.17805942857143</v>
          </cell>
          <cell r="I55">
            <v>30.080763000000001</v>
          </cell>
          <cell r="J55">
            <v>31.467908999999999</v>
          </cell>
          <cell r="K55">
            <v>33.609039000000003</v>
          </cell>
          <cell r="L55">
            <v>35.373016</v>
          </cell>
          <cell r="M55">
            <v>37.714674000000002</v>
          </cell>
          <cell r="N55">
            <v>41.323309999999999</v>
          </cell>
          <cell r="O55">
            <v>44.913384000000001</v>
          </cell>
          <cell r="P55">
            <v>52.817453</v>
          </cell>
          <cell r="Q55">
            <v>62.690365</v>
          </cell>
          <cell r="R55">
            <v>76.089972000000003</v>
          </cell>
        </row>
        <row r="56">
          <cell r="A56">
            <v>40</v>
          </cell>
          <cell r="B56">
            <v>24.444188</v>
          </cell>
          <cell r="C56">
            <v>25.598732999999999</v>
          </cell>
          <cell r="D56">
            <v>27.381813999999999</v>
          </cell>
          <cell r="E56">
            <v>29.007425000000001</v>
          </cell>
          <cell r="F56">
            <v>29.488973999999999</v>
          </cell>
          <cell r="G56">
            <v>29.708931</v>
          </cell>
          <cell r="H56">
            <v>30.077046428571428</v>
          </cell>
          <cell r="I56">
            <v>30.997335</v>
          </cell>
          <cell r="J56">
            <v>32.411808000000001</v>
          </cell>
          <cell r="K56">
            <v>34.595950999999999</v>
          </cell>
          <cell r="L56">
            <v>36.396253000000002</v>
          </cell>
          <cell r="M56">
            <v>38.787449000000002</v>
          </cell>
          <cell r="N56">
            <v>42.475251999999998</v>
          </cell>
          <cell r="O56">
            <v>46.147013000000001</v>
          </cell>
          <cell r="P56">
            <v>54.238232000000004</v>
          </cell>
          <cell r="Q56">
            <v>64.353134999999995</v>
          </cell>
          <cell r="R56">
            <v>78.087971999999993</v>
          </cell>
        </row>
        <row r="57">
          <cell r="A57">
            <v>41</v>
          </cell>
          <cell r="B57">
            <v>25.239080000000001</v>
          </cell>
          <cell r="C57">
            <v>26.415510000000001</v>
          </cell>
          <cell r="D57">
            <v>28.232115</v>
          </cell>
          <cell r="E57">
            <v>29.888238999999999</v>
          </cell>
          <cell r="F57">
            <v>30.378852999999999</v>
          </cell>
          <cell r="G57">
            <v>30.602958999999998</v>
          </cell>
          <cell r="H57">
            <v>30.978051857142859</v>
          </cell>
          <cell r="I57">
            <v>31.915783999999999</v>
          </cell>
          <cell r="J57">
            <v>33.357380999999997</v>
          </cell>
          <cell r="K57">
            <v>35.584256000000003</v>
          </cell>
          <cell r="L57">
            <v>37.420682999999997</v>
          </cell>
          <cell r="M57">
            <v>39.861195000000002</v>
          </cell>
          <cell r="N57">
            <v>43.627901999999999</v>
          </cell>
          <cell r="O57">
            <v>47.381165000000003</v>
          </cell>
          <cell r="P57">
            <v>55.659300999999999</v>
          </cell>
          <cell r="Q57">
            <v>66.016064999999998</v>
          </cell>
          <cell r="R57">
            <v>80.086061000000001</v>
          </cell>
        </row>
        <row r="58">
          <cell r="A58">
            <v>42</v>
          </cell>
          <cell r="B58">
            <v>26.036867000000001</v>
          </cell>
          <cell r="C58">
            <v>27.234971000000002</v>
          </cell>
          <cell r="D58">
            <v>29.084785</v>
          </cell>
          <cell r="E58">
            <v>30.771155</v>
          </cell>
          <cell r="F58">
            <v>31.270759999999999</v>
          </cell>
          <cell r="G58">
            <v>31.49898</v>
          </cell>
          <cell r="H58">
            <v>31.880995142857138</v>
          </cell>
          <cell r="I58">
            <v>32.836033</v>
          </cell>
          <cell r="J58">
            <v>34.304558</v>
          </cell>
          <cell r="K58">
            <v>36.573897000000002</v>
          </cell>
          <cell r="L58">
            <v>38.446255999999998</v>
          </cell>
          <cell r="M58">
            <v>40.935867000000002</v>
          </cell>
          <cell r="N58">
            <v>44.781222999999997</v>
          </cell>
          <cell r="O58">
            <v>48.615811999999998</v>
          </cell>
          <cell r="P58">
            <v>57.080641999999997</v>
          </cell>
          <cell r="Q58">
            <v>67.679143999999994</v>
          </cell>
          <cell r="R58">
            <v>82.084231000000003</v>
          </cell>
        </row>
        <row r="59">
          <cell r="A59">
            <v>43</v>
          </cell>
          <cell r="B59">
            <v>26.837444999999999</v>
          </cell>
          <cell r="C59">
            <v>28.057016999999998</v>
          </cell>
          <cell r="D59">
            <v>29.939737000000001</v>
          </cell>
          <cell r="E59">
            <v>31.656092000000001</v>
          </cell>
          <cell r="F59">
            <v>32.164614</v>
          </cell>
          <cell r="G59">
            <v>32.396915999999997</v>
          </cell>
          <cell r="H59">
            <v>32.785800285714281</v>
          </cell>
          <cell r="I59">
            <v>33.758011000000003</v>
          </cell>
          <cell r="J59">
            <v>35.253273999999998</v>
          </cell>
          <cell r="K59">
            <v>37.564815000000003</v>
          </cell>
          <cell r="L59">
            <v>39.472920000000002</v>
          </cell>
          <cell r="M59">
            <v>42.011423000000001</v>
          </cell>
          <cell r="N59">
            <v>45.935184999999997</v>
          </cell>
          <cell r="O59">
            <v>49.850929999999998</v>
          </cell>
          <cell r="P59">
            <v>58.502240999999998</v>
          </cell>
          <cell r="Q59">
            <v>69.342365000000001</v>
          </cell>
          <cell r="R59">
            <v>84.082477999999995</v>
          </cell>
        </row>
        <row r="60">
          <cell r="A60">
            <v>44</v>
          </cell>
          <cell r="B60">
            <v>27.640713000000002</v>
          </cell>
          <cell r="C60">
            <v>28.881553</v>
          </cell>
          <cell r="D60">
            <v>30.796885</v>
          </cell>
          <cell r="E60">
            <v>32.542974999999998</v>
          </cell>
          <cell r="F60">
            <v>33.060344000000001</v>
          </cell>
          <cell r="G60">
            <v>33.296695</v>
          </cell>
          <cell r="H60">
            <v>33.692396714285707</v>
          </cell>
          <cell r="I60">
            <v>34.681651000000002</v>
          </cell>
          <cell r="J60">
            <v>36.203471</v>
          </cell>
          <cell r="K60">
            <v>38.556961000000001</v>
          </cell>
          <cell r="L60">
            <v>40.500632000000003</v>
          </cell>
          <cell r="M60">
            <v>43.087825000000002</v>
          </cell>
          <cell r="N60">
            <v>47.089758000000003</v>
          </cell>
          <cell r="O60">
            <v>51.086495999999997</v>
          </cell>
          <cell r="P60">
            <v>59.924083000000003</v>
          </cell>
          <cell r="Q60">
            <v>71.005718999999999</v>
          </cell>
          <cell r="R60">
            <v>86.080797000000004</v>
          </cell>
        </row>
        <row r="61">
          <cell r="A61">
            <v>45</v>
          </cell>
          <cell r="B61">
            <v>28.446576</v>
          </cell>
          <cell r="C61">
            <v>29.708490000000001</v>
          </cell>
          <cell r="D61">
            <v>31.656151000000001</v>
          </cell>
          <cell r="E61">
            <v>33.431733000000001</v>
          </cell>
          <cell r="F61">
            <v>33.957878000000001</v>
          </cell>
          <cell r="G61">
            <v>34.198248</v>
          </cell>
          <cell r="H61">
            <v>34.600717714285707</v>
          </cell>
          <cell r="I61">
            <v>35.606892000000002</v>
          </cell>
          <cell r="J61">
            <v>37.155088999999997</v>
          </cell>
          <cell r="K61">
            <v>39.550283999999998</v>
          </cell>
          <cell r="L61">
            <v>41.529347999999999</v>
          </cell>
          <cell r="M61">
            <v>44.165036999999998</v>
          </cell>
          <cell r="N61">
            <v>48.244911999999999</v>
          </cell>
          <cell r="O61">
            <v>52.322485999999998</v>
          </cell>
          <cell r="P61">
            <v>61.346156000000001</v>
          </cell>
          <cell r="Q61">
            <v>72.669197999999994</v>
          </cell>
          <cell r="R61">
            <v>88.079183</v>
          </cell>
        </row>
        <row r="63">
          <cell r="A63">
            <v>46</v>
          </cell>
          <cell r="B63">
            <v>29.254943999999998</v>
          </cell>
          <cell r="C63">
            <v>30.537745999999999</v>
          </cell>
          <cell r="D63">
            <v>32.517459000000002</v>
          </cell>
          <cell r="E63">
            <v>34.322296999999999</v>
          </cell>
          <cell r="F63">
            <v>34.857151999999999</v>
          </cell>
          <cell r="G63">
            <v>35.101509999999998</v>
          </cell>
          <cell r="H63">
            <v>35.510699714285714</v>
          </cell>
          <cell r="I63">
            <v>36.533673999999998</v>
          </cell>
          <cell r="J63">
            <v>38.108075999999997</v>
          </cell>
          <cell r="K63">
            <v>40.544739999999997</v>
          </cell>
          <cell r="L63">
            <v>42.559026000000003</v>
          </cell>
          <cell r="M63">
            <v>45.243023000000001</v>
          </cell>
          <cell r="N63">
            <v>49.400623000000003</v>
          </cell>
          <cell r="O63">
            <v>53.558883000000002</v>
          </cell>
          <cell r="P63">
            <v>62.768447000000002</v>
          </cell>
          <cell r="Q63">
            <v>74.332795000000004</v>
          </cell>
          <cell r="R63">
            <v>90.077634000000003</v>
          </cell>
        </row>
        <row r="64">
          <cell r="A64">
            <v>47</v>
          </cell>
          <cell r="B64">
            <v>30.065733999999999</v>
          </cell>
          <cell r="C64">
            <v>31.369240999999999</v>
          </cell>
          <cell r="D64">
            <v>33.380738000000001</v>
          </cell>
          <cell r="E64">
            <v>35.214604000000001</v>
          </cell>
          <cell r="F64">
            <v>35.758105</v>
          </cell>
          <cell r="G64">
            <v>36.006422999999998</v>
          </cell>
          <cell r="H64">
            <v>36.422285285714281</v>
          </cell>
          <cell r="I64">
            <v>37.461941000000003</v>
          </cell>
          <cell r="J64">
            <v>39.062381999999999</v>
          </cell>
          <cell r="K64">
            <v>41.540284</v>
          </cell>
          <cell r="L64">
            <v>43.589630999999997</v>
          </cell>
          <cell r="M64">
            <v>46.321753999999999</v>
          </cell>
          <cell r="N64">
            <v>50.556865999999999</v>
          </cell>
          <cell r="O64">
            <v>54.795665</v>
          </cell>
          <cell r="P64">
            <v>64.190944999999999</v>
          </cell>
          <cell r="Q64">
            <v>75.996503000000004</v>
          </cell>
          <cell r="R64">
            <v>92.076143999999999</v>
          </cell>
        </row>
        <row r="65">
          <cell r="A65">
            <v>48</v>
          </cell>
          <cell r="B65">
            <v>30.878865000000001</v>
          </cell>
          <cell r="C65">
            <v>32.202902000000002</v>
          </cell>
          <cell r="D65">
            <v>34.245922999999998</v>
          </cell>
          <cell r="E65">
            <v>36.108593999999997</v>
          </cell>
          <cell r="F65">
            <v>36.660677999999997</v>
          </cell>
          <cell r="G65">
            <v>36.912927000000003</v>
          </cell>
          <cell r="H65">
            <v>37.335416714285728</v>
          </cell>
          <cell r="I65">
            <v>38.391641</v>
          </cell>
          <cell r="J65">
            <v>40.017958999999998</v>
          </cell>
          <cell r="K65">
            <v>42.536875999999999</v>
          </cell>
          <cell r="L65">
            <v>44.621124999999999</v>
          </cell>
          <cell r="M65">
            <v>47.401197000000003</v>
          </cell>
          <cell r="N65">
            <v>51.713617999999997</v>
          </cell>
          <cell r="O65">
            <v>56.032817000000001</v>
          </cell>
          <cell r="P65">
            <v>65.613639000000006</v>
          </cell>
          <cell r="Q65">
            <v>77.660317000000006</v>
          </cell>
          <cell r="R65">
            <v>94.074710999999994</v>
          </cell>
        </row>
        <row r="66">
          <cell r="A66">
            <v>49</v>
          </cell>
          <cell r="B66">
            <v>31.694261999999998</v>
          </cell>
          <cell r="C66">
            <v>33.038656000000003</v>
          </cell>
          <cell r="D66">
            <v>35.112949</v>
          </cell>
          <cell r="E66">
            <v>37.00421</v>
          </cell>
          <cell r="F66">
            <v>37.564816</v>
          </cell>
          <cell r="G66">
            <v>37.820968999999998</v>
          </cell>
          <cell r="H66">
            <v>38.250041857142861</v>
          </cell>
          <cell r="I66">
            <v>39.322724000000001</v>
          </cell>
          <cell r="J66">
            <v>40.974761000000001</v>
          </cell>
          <cell r="K66">
            <v>43.534477000000003</v>
          </cell>
          <cell r="L66">
            <v>45.653475</v>
          </cell>
          <cell r="M66">
            <v>48.481327</v>
          </cell>
          <cell r="N66">
            <v>52.870857999999998</v>
          </cell>
          <cell r="O66">
            <v>57.270319999999998</v>
          </cell>
          <cell r="P66">
            <v>67.036520999999993</v>
          </cell>
          <cell r="Q66">
            <v>79.324230999999997</v>
          </cell>
          <cell r="R66">
            <v>96.073330999999996</v>
          </cell>
        </row>
        <row r="67">
          <cell r="A67">
            <v>50</v>
          </cell>
          <cell r="B67">
            <v>32.511853000000002</v>
          </cell>
          <cell r="C67">
            <v>33.876438</v>
          </cell>
          <cell r="D67">
            <v>35.981757999999999</v>
          </cell>
          <cell r="E67">
            <v>37.901398</v>
          </cell>
          <cell r="F67">
            <v>38.470466999999999</v>
          </cell>
          <cell r="G67">
            <v>38.730497</v>
          </cell>
          <cell r="H67">
            <v>39.166110428571436</v>
          </cell>
          <cell r="I67">
            <v>40.255144000000001</v>
          </cell>
          <cell r="J67">
            <v>41.932746999999999</v>
          </cell>
          <cell r="K67">
            <v>44.533053000000002</v>
          </cell>
          <cell r="L67">
            <v>46.686649000000003</v>
          </cell>
          <cell r="M67">
            <v>49.562114999999999</v>
          </cell>
          <cell r="N67">
            <v>54.028564000000003</v>
          </cell>
          <cell r="O67">
            <v>58.508161000000001</v>
          </cell>
          <cell r="P67">
            <v>68.459580000000003</v>
          </cell>
          <cell r="Q67">
            <v>80.988238999999993</v>
          </cell>
          <cell r="R67">
            <v>98.072001</v>
          </cell>
        </row>
        <row r="69">
          <cell r="A69">
            <v>51</v>
          </cell>
          <cell r="B69">
            <v>33.331570999999997</v>
          </cell>
          <cell r="C69">
            <v>34.716183999999998</v>
          </cell>
          <cell r="D69">
            <v>36.852291000000001</v>
          </cell>
          <cell r="E69">
            <v>38.800108000000002</v>
          </cell>
          <cell r="F69">
            <v>39.377581999999997</v>
          </cell>
          <cell r="G69">
            <v>39.641463000000002</v>
          </cell>
          <cell r="H69">
            <v>40.083574999999996</v>
          </cell>
          <cell r="I69">
            <v>41.188854999999997</v>
          </cell>
          <cell r="J69">
            <v>42.891876000000003</v>
          </cell>
          <cell r="K69">
            <v>45.532567</v>
          </cell>
          <cell r="L69">
            <v>47.720618000000002</v>
          </cell>
          <cell r="M69">
            <v>50.643535999999997</v>
          </cell>
          <cell r="N69">
            <v>55.186718999999997</v>
          </cell>
          <cell r="O69">
            <v>59.746322999999997</v>
          </cell>
          <cell r="P69">
            <v>69.882807999999997</v>
          </cell>
          <cell r="Q69">
            <v>82.652337000000003</v>
          </cell>
          <cell r="R69">
            <v>100.07071999999999</v>
          </cell>
        </row>
        <row r="70">
          <cell r="A70">
            <v>52</v>
          </cell>
          <cell r="B70">
            <v>34.153348999999999</v>
          </cell>
          <cell r="C70">
            <v>35.557834</v>
          </cell>
          <cell r="D70">
            <v>37.724496000000002</v>
          </cell>
          <cell r="E70">
            <v>39.700291</v>
          </cell>
          <cell r="F70">
            <v>40.286113</v>
          </cell>
          <cell r="G70">
            <v>40.553820999999999</v>
          </cell>
          <cell r="H70">
            <v>41.00239100000001</v>
          </cell>
          <cell r="I70">
            <v>42.123815999999998</v>
          </cell>
          <cell r="J70">
            <v>43.852111000000001</v>
          </cell>
          <cell r="K70">
            <v>46.532988000000003</v>
          </cell>
          <cell r="L70">
            <v>48.755352999999999</v>
          </cell>
          <cell r="M70">
            <v>51.725568000000003</v>
          </cell>
          <cell r="N70">
            <v>56.345303999999999</v>
          </cell>
          <cell r="O70">
            <v>60.984794000000001</v>
          </cell>
          <cell r="P70">
            <v>71.306197999999995</v>
          </cell>
          <cell r="Q70">
            <v>84.316519999999997</v>
          </cell>
          <cell r="R70">
            <v>102.06948</v>
          </cell>
        </row>
        <row r="71">
          <cell r="A71">
            <v>53</v>
          </cell>
          <cell r="B71">
            <v>34.977127000000003</v>
          </cell>
          <cell r="C71">
            <v>36.401328999999997</v>
          </cell>
          <cell r="D71">
            <v>38.598320999999999</v>
          </cell>
          <cell r="E71">
            <v>40.601900000000001</v>
          </cell>
          <cell r="F71">
            <v>41.196016999999998</v>
          </cell>
          <cell r="G71">
            <v>41.467526999999997</v>
          </cell>
          <cell r="H71">
            <v>41.922515285714283</v>
          </cell>
          <cell r="I71">
            <v>43.059986000000002</v>
          </cell>
          <cell r="J71">
            <v>44.813414000000002</v>
          </cell>
          <cell r="K71">
            <v>47.534284999999997</v>
          </cell>
          <cell r="L71">
            <v>49.790827</v>
          </cell>
          <cell r="M71">
            <v>52.808186999999997</v>
          </cell>
          <cell r="N71">
            <v>57.504303</v>
          </cell>
          <cell r="O71">
            <v>62.223560999999997</v>
          </cell>
          <cell r="P71">
            <v>72.729742000000002</v>
          </cell>
          <cell r="Q71">
            <v>85.980784</v>
          </cell>
          <cell r="R71">
            <v>104.06829</v>
          </cell>
        </row>
        <row r="72">
          <cell r="A72">
            <v>54</v>
          </cell>
          <cell r="B72">
            <v>35.802846000000002</v>
          </cell>
          <cell r="C72">
            <v>37.246616000000003</v>
          </cell>
          <cell r="D72">
            <v>39.473717000000001</v>
          </cell>
          <cell r="E72">
            <v>41.504893000000003</v>
          </cell>
          <cell r="F72">
            <v>42.107250999999998</v>
          </cell>
          <cell r="G72">
            <v>42.382537999999997</v>
          </cell>
          <cell r="H72">
            <v>42.843906571428562</v>
          </cell>
          <cell r="I72">
            <v>43.997328000000003</v>
          </cell>
          <cell r="J72">
            <v>45.775751999999997</v>
          </cell>
          <cell r="K72">
            <v>48.536428000000001</v>
          </cell>
          <cell r="L72">
            <v>50.827015000000003</v>
          </cell>
          <cell r="M72">
            <v>53.891373000000002</v>
          </cell>
          <cell r="N72">
            <v>58.663699000000001</v>
          </cell>
          <cell r="O72">
            <v>63.462611000000003</v>
          </cell>
          <cell r="P72">
            <v>74.153433000000007</v>
          </cell>
          <cell r="Q72">
            <v>87.645124999999993</v>
          </cell>
          <cell r="R72">
            <v>106.06713000000001</v>
          </cell>
        </row>
        <row r="73">
          <cell r="A73">
            <v>55</v>
          </cell>
          <cell r="B73">
            <v>36.630451000000001</v>
          </cell>
          <cell r="C73">
            <v>38.093642000000003</v>
          </cell>
          <cell r="D73">
            <v>40.350637999999996</v>
          </cell>
          <cell r="E73">
            <v>42.409227000000001</v>
          </cell>
          <cell r="F73">
            <v>43.019775000000003</v>
          </cell>
          <cell r="G73">
            <v>43.298817</v>
          </cell>
          <cell r="H73">
            <v>43.76652814285714</v>
          </cell>
          <cell r="I73">
            <v>44.935805999999999</v>
          </cell>
          <cell r="J73">
            <v>46.739091000000002</v>
          </cell>
          <cell r="K73">
            <v>49.539389999999997</v>
          </cell>
          <cell r="L73">
            <v>51.863892</v>
          </cell>
          <cell r="M73">
            <v>54.975104999999999</v>
          </cell>
          <cell r="N73">
            <v>59.823476999999997</v>
          </cell>
          <cell r="O73">
            <v>64.701932999999997</v>
          </cell>
          <cell r="P73">
            <v>75.577264</v>
          </cell>
          <cell r="Q73">
            <v>89.309539000000001</v>
          </cell>
          <cell r="R73">
            <v>108.06601999999999</v>
          </cell>
        </row>
        <row r="75">
          <cell r="A75">
            <v>56</v>
          </cell>
          <cell r="B75">
            <v>37.459887000000002</v>
          </cell>
          <cell r="C75">
            <v>38.942357999999999</v>
          </cell>
          <cell r="D75">
            <v>41.229039999999998</v>
          </cell>
          <cell r="E75">
            <v>43.314864</v>
          </cell>
          <cell r="F75">
            <v>43.933549999999997</v>
          </cell>
          <cell r="G75">
            <v>44.216324</v>
          </cell>
          <cell r="H75">
            <v>44.690341142857143</v>
          </cell>
          <cell r="I75">
            <v>45.875383999999997</v>
          </cell>
          <cell r="J75">
            <v>47.703401999999997</v>
          </cell>
          <cell r="K75">
            <v>50.543145000000003</v>
          </cell>
          <cell r="L75">
            <v>52.901434999999999</v>
          </cell>
          <cell r="M75">
            <v>56.059365</v>
          </cell>
          <cell r="N75">
            <v>60.983623000000001</v>
          </cell>
          <cell r="O75">
            <v>65.941515999999993</v>
          </cell>
          <cell r="P75">
            <v>77.001228999999995</v>
          </cell>
          <cell r="Q75">
            <v>90.974024</v>
          </cell>
          <cell r="R75">
            <v>110.06494000000001</v>
          </cell>
        </row>
        <row r="76">
          <cell r="A76">
            <v>57</v>
          </cell>
          <cell r="B76">
            <v>38.291103999999997</v>
          </cell>
          <cell r="C76">
            <v>39.792715999999999</v>
          </cell>
          <cell r="D76">
            <v>42.108879000000002</v>
          </cell>
          <cell r="E76">
            <v>44.221764</v>
          </cell>
          <cell r="F76">
            <v>44.848540999999997</v>
          </cell>
          <cell r="G76">
            <v>45.135024000000001</v>
          </cell>
          <cell r="H76">
            <v>45.615311428571417</v>
          </cell>
          <cell r="I76">
            <v>46.816029999999998</v>
          </cell>
          <cell r="J76">
            <v>48.668653999999997</v>
          </cell>
          <cell r="K76">
            <v>51.547668000000002</v>
          </cell>
          <cell r="L76">
            <v>53.939624000000002</v>
          </cell>
          <cell r="M76">
            <v>57.144134000000001</v>
          </cell>
          <cell r="N76">
            <v>62.144123999999998</v>
          </cell>
          <cell r="O76">
            <v>67.181349999999995</v>
          </cell>
          <cell r="P76">
            <v>78.425321999999994</v>
          </cell>
          <cell r="Q76">
            <v>92.638575000000003</v>
          </cell>
          <cell r="R76">
            <v>112.0639</v>
          </cell>
        </row>
        <row r="77">
          <cell r="A77">
            <v>58</v>
          </cell>
          <cell r="B77">
            <v>39.124054000000001</v>
          </cell>
          <cell r="C77">
            <v>40.644671000000002</v>
          </cell>
          <cell r="D77">
            <v>42.990116999999998</v>
          </cell>
          <cell r="E77">
            <v>45.129893000000003</v>
          </cell>
          <cell r="F77">
            <v>45.764710999999998</v>
          </cell>
          <cell r="G77">
            <v>46.054881999999999</v>
          </cell>
          <cell r="H77">
            <v>46.541405142857151</v>
          </cell>
          <cell r="I77">
            <v>47.757713000000003</v>
          </cell>
          <cell r="J77">
            <v>49.634819</v>
          </cell>
          <cell r="K77">
            <v>52.552934</v>
          </cell>
          <cell r="L77">
            <v>54.978436000000002</v>
          </cell>
          <cell r="M77">
            <v>58.229394999999997</v>
          </cell>
          <cell r="N77">
            <v>63.304966999999998</v>
          </cell>
          <cell r="O77">
            <v>68.421425999999997</v>
          </cell>
          <cell r="P77">
            <v>79.849538999999993</v>
          </cell>
          <cell r="Q77">
            <v>94.303189000000003</v>
          </cell>
          <cell r="R77">
            <v>114.06289</v>
          </cell>
        </row>
        <row r="78">
          <cell r="A78">
            <v>59</v>
          </cell>
          <cell r="B78">
            <v>39.958689999999997</v>
          </cell>
          <cell r="C78">
            <v>41.498179999999998</v>
          </cell>
          <cell r="D78">
            <v>43.872714000000002</v>
          </cell>
          <cell r="E78">
            <v>46.039214999999999</v>
          </cell>
          <cell r="F78">
            <v>46.682028000000003</v>
          </cell>
          <cell r="G78">
            <v>46.975866000000003</v>
          </cell>
          <cell r="H78">
            <v>47.468591142857136</v>
          </cell>
          <cell r="I78">
            <v>48.700403999999999</v>
          </cell>
          <cell r="J78">
            <v>50.601871000000003</v>
          </cell>
          <cell r="K78">
            <v>53.558920999999998</v>
          </cell>
          <cell r="L78">
            <v>56.017853000000002</v>
          </cell>
          <cell r="M78">
            <v>59.315131000000001</v>
          </cell>
          <cell r="N78">
            <v>64.466138999999998</v>
          </cell>
          <cell r="O78">
            <v>69.661732999999998</v>
          </cell>
          <cell r="P78">
            <v>81.273872999999995</v>
          </cell>
          <cell r="Q78">
            <v>95.967865000000003</v>
          </cell>
          <cell r="R78">
            <v>116.06191</v>
          </cell>
        </row>
        <row r="79">
          <cell r="A79">
            <v>60</v>
          </cell>
          <cell r="B79">
            <v>40.794967</v>
          </cell>
          <cell r="C79">
            <v>42.353202000000003</v>
          </cell>
          <cell r="D79">
            <v>44.756633999999998</v>
          </cell>
          <cell r="E79">
            <v>46.949697999999998</v>
          </cell>
          <cell r="F79">
            <v>47.600459999999998</v>
          </cell>
          <cell r="G79">
            <v>47.897944000000003</v>
          </cell>
          <cell r="H79">
            <v>48.396837714285716</v>
          </cell>
          <cell r="I79">
            <v>49.644072000000001</v>
          </cell>
          <cell r="J79">
            <v>51.569783000000001</v>
          </cell>
          <cell r="K79">
            <v>54.565607999999997</v>
          </cell>
          <cell r="L79">
            <v>57.057855000000004</v>
          </cell>
          <cell r="M79">
            <v>60.401327999999999</v>
          </cell>
          <cell r="N79">
            <v>65.627628999999999</v>
          </cell>
          <cell r="O79">
            <v>70.902265</v>
          </cell>
          <cell r="P79">
            <v>82.698321000000007</v>
          </cell>
          <cell r="Q79">
            <v>97.632598000000002</v>
          </cell>
          <cell r="R79">
            <v>118.06095999999999</v>
          </cell>
        </row>
        <row r="81">
          <cell r="A81">
            <v>61</v>
          </cell>
          <cell r="B81">
            <v>41.632841999999997</v>
          </cell>
          <cell r="C81">
            <v>43.209696000000001</v>
          </cell>
          <cell r="D81">
            <v>45.641841999999997</v>
          </cell>
          <cell r="E81">
            <v>47.861310000000003</v>
          </cell>
          <cell r="F81">
            <v>48.519976</v>
          </cell>
          <cell r="G81">
            <v>48.821086999999999</v>
          </cell>
          <cell r="H81">
            <v>49.326117000000004</v>
          </cell>
          <cell r="I81">
            <v>50.588692000000002</v>
          </cell>
          <cell r="J81">
            <v>52.538530999999999</v>
          </cell>
          <cell r="K81">
            <v>55.572972999999998</v>
          </cell>
          <cell r="L81">
            <v>58.098424999999999</v>
          </cell>
          <cell r="M81">
            <v>61.487971000000002</v>
          </cell>
          <cell r="N81">
            <v>66.789426000000006</v>
          </cell>
          <cell r="O81">
            <v>72.143011000000001</v>
          </cell>
          <cell r="P81">
            <v>84.122876000000005</v>
          </cell>
          <cell r="Q81">
            <v>99.297387000000001</v>
          </cell>
          <cell r="R81">
            <v>120.06004</v>
          </cell>
        </row>
        <row r="82">
          <cell r="A82">
            <v>62</v>
          </cell>
          <cell r="B82">
            <v>42.472276000000001</v>
          </cell>
          <cell r="C82">
            <v>44.067625</v>
          </cell>
          <cell r="D82">
            <v>46.528303000000001</v>
          </cell>
          <cell r="E82">
            <v>48.774022000000002</v>
          </cell>
          <cell r="F82">
            <v>49.440548</v>
          </cell>
          <cell r="G82">
            <v>49.745265000000003</v>
          </cell>
          <cell r="H82">
            <v>50.25639985714286</v>
          </cell>
          <cell r="I82">
            <v>51.534236999999997</v>
          </cell>
          <cell r="J82">
            <v>53.508091999999998</v>
          </cell>
          <cell r="K82">
            <v>56.580997000000004</v>
          </cell>
          <cell r="L82">
            <v>59.139546000000003</v>
          </cell>
          <cell r="M82">
            <v>62.575045000000003</v>
          </cell>
          <cell r="N82">
            <v>67.951520000000002</v>
          </cell>
          <cell r="O82">
            <v>73.383965000000003</v>
          </cell>
          <cell r="P82">
            <v>85.547535999999994</v>
          </cell>
          <cell r="Q82">
            <v>100.96223000000001</v>
          </cell>
          <cell r="R82">
            <v>122.05915</v>
          </cell>
        </row>
        <row r="83">
          <cell r="A83">
            <v>63</v>
          </cell>
          <cell r="B83">
            <v>43.313229</v>
          </cell>
          <cell r="C83">
            <v>44.926952999999997</v>
          </cell>
          <cell r="D83">
            <v>47.415984999999999</v>
          </cell>
          <cell r="E83">
            <v>49.687803000000002</v>
          </cell>
          <cell r="F83">
            <v>50.362147</v>
          </cell>
          <cell r="G83">
            <v>50.670451999999997</v>
          </cell>
          <cell r="H83">
            <v>51.187660571428566</v>
          </cell>
          <cell r="I83">
            <v>52.480682000000002</v>
          </cell>
          <cell r="J83">
            <v>54.478442999999999</v>
          </cell>
          <cell r="K83">
            <v>57.589661</v>
          </cell>
          <cell r="L83">
            <v>60.181199999999997</v>
          </cell>
          <cell r="M83">
            <v>63.662537</v>
          </cell>
          <cell r="N83">
            <v>69.113900000000001</v>
          </cell>
          <cell r="O83">
            <v>74.625119999999995</v>
          </cell>
          <cell r="P83">
            <v>86.972295000000003</v>
          </cell>
          <cell r="Q83">
            <v>102.62712000000001</v>
          </cell>
          <cell r="R83">
            <v>124.05828</v>
          </cell>
        </row>
        <row r="84">
          <cell r="A84">
            <v>64</v>
          </cell>
          <cell r="B84">
            <v>44.155662999999997</v>
          </cell>
          <cell r="C84">
            <v>45.787644</v>
          </cell>
          <cell r="D84">
            <v>48.304858000000003</v>
          </cell>
          <cell r="E84">
            <v>50.602626999999998</v>
          </cell>
          <cell r="F84">
            <v>51.284747000000003</v>
          </cell>
          <cell r="G84">
            <v>51.596620999999999</v>
          </cell>
          <cell r="H84">
            <v>52.119872999999991</v>
          </cell>
          <cell r="I84">
            <v>53.428002999999997</v>
          </cell>
          <cell r="J84">
            <v>55.449562999999998</v>
          </cell>
          <cell r="K84">
            <v>58.598947000000003</v>
          </cell>
          <cell r="L84">
            <v>61.223373000000002</v>
          </cell>
          <cell r="M84">
            <v>64.750433999999998</v>
          </cell>
          <cell r="N84">
            <v>70.276557999999994</v>
          </cell>
          <cell r="O84">
            <v>75.866467</v>
          </cell>
          <cell r="P84">
            <v>88.397150999999994</v>
          </cell>
          <cell r="Q84">
            <v>104.29206000000001</v>
          </cell>
          <cell r="R84">
            <v>126.05744</v>
          </cell>
        </row>
        <row r="85">
          <cell r="A85">
            <v>65</v>
          </cell>
          <cell r="B85">
            <v>44.999541999999998</v>
          </cell>
          <cell r="C85">
            <v>46.649664999999999</v>
          </cell>
          <cell r="D85">
            <v>49.194890999999998</v>
          </cell>
          <cell r="E85">
            <v>51.518467000000001</v>
          </cell>
          <cell r="F85">
            <v>52.208322000000003</v>
          </cell>
          <cell r="G85">
            <v>52.523746000000003</v>
          </cell>
          <cell r="H85">
            <v>53.053012000000003</v>
          </cell>
          <cell r="I85">
            <v>54.376176999999998</v>
          </cell>
          <cell r="J85">
            <v>56.421430999999998</v>
          </cell>
          <cell r="K85">
            <v>59.608837000000001</v>
          </cell>
          <cell r="L85">
            <v>62.26605</v>
          </cell>
          <cell r="M85">
            <v>65.838723999999999</v>
          </cell>
          <cell r="N85">
            <v>71.439483999999993</v>
          </cell>
          <cell r="O85">
            <v>77.108001000000002</v>
          </cell>
          <cell r="P85">
            <v>89.822098999999994</v>
          </cell>
          <cell r="Q85">
            <v>105.95705</v>
          </cell>
          <cell r="R85">
            <v>128.05662000000001</v>
          </cell>
        </row>
        <row r="87">
          <cell r="A87">
            <v>66</v>
          </cell>
          <cell r="B87">
            <v>45.844830999999999</v>
          </cell>
          <cell r="C87">
            <v>47.512982999999998</v>
          </cell>
          <cell r="D87">
            <v>50.086056999999997</v>
          </cell>
          <cell r="E87">
            <v>52.435296999999998</v>
          </cell>
          <cell r="F87">
            <v>53.132846999999998</v>
          </cell>
          <cell r="G87">
            <v>53.451804000000003</v>
          </cell>
          <cell r="H87">
            <v>53.987055142857145</v>
          </cell>
          <cell r="I87">
            <v>55.325183000000003</v>
          </cell>
          <cell r="J87">
            <v>57.394027999999999</v>
          </cell>
          <cell r="K87">
            <v>60.619315</v>
          </cell>
          <cell r="L87">
            <v>63.309215000000002</v>
          </cell>
          <cell r="M87">
            <v>66.927395000000004</v>
          </cell>
          <cell r="N87">
            <v>72.602669000000006</v>
          </cell>
          <cell r="O87">
            <v>78.349715000000003</v>
          </cell>
          <cell r="P87">
            <v>91.247135999999998</v>
          </cell>
          <cell r="Q87">
            <v>107.62208</v>
          </cell>
          <cell r="R87">
            <v>130.05582999999999</v>
          </cell>
        </row>
        <row r="88">
          <cell r="A88">
            <v>67</v>
          </cell>
          <cell r="B88">
            <v>46.691498000000003</v>
          </cell>
          <cell r="C88">
            <v>48.377569000000001</v>
          </cell>
          <cell r="D88">
            <v>50.978327</v>
          </cell>
          <cell r="E88">
            <v>53.353093999999999</v>
          </cell>
          <cell r="F88">
            <v>54.058298999999998</v>
          </cell>
          <cell r="G88">
            <v>54.380771000000003</v>
          </cell>
          <cell r="H88">
            <v>54.921979</v>
          </cell>
          <cell r="I88">
            <v>56.274999000000001</v>
          </cell>
          <cell r="J88">
            <v>58.367334</v>
          </cell>
          <cell r="K88">
            <v>61.630366000000002</v>
          </cell>
          <cell r="L88">
            <v>64.352857</v>
          </cell>
          <cell r="M88">
            <v>68.016435999999999</v>
          </cell>
          <cell r="N88">
            <v>73.766105999999994</v>
          </cell>
          <cell r="O88">
            <v>79.591601999999995</v>
          </cell>
          <cell r="P88">
            <v>92.672257999999999</v>
          </cell>
          <cell r="Q88">
            <v>109.28716</v>
          </cell>
          <cell r="R88">
            <v>132.05506</v>
          </cell>
        </row>
        <row r="89">
          <cell r="A89">
            <v>68</v>
          </cell>
          <cell r="B89">
            <v>47.53951</v>
          </cell>
          <cell r="C89">
            <v>49.243392</v>
          </cell>
          <cell r="D89">
            <v>51.871675000000003</v>
          </cell>
          <cell r="E89">
            <v>54.271833000000001</v>
          </cell>
          <cell r="F89">
            <v>54.984656000000001</v>
          </cell>
          <cell r="G89">
            <v>55.310625000000002</v>
          </cell>
          <cell r="H89">
            <v>55.85776214285714</v>
          </cell>
          <cell r="I89">
            <v>57.225605000000002</v>
          </cell>
          <cell r="J89">
            <v>59.341330999999997</v>
          </cell>
          <cell r="K89">
            <v>62.641973</v>
          </cell>
          <cell r="L89">
            <v>65.396960000000007</v>
          </cell>
          <cell r="M89">
            <v>69.105836999999994</v>
          </cell>
          <cell r="N89">
            <v>74.929786000000007</v>
          </cell>
          <cell r="O89">
            <v>80.833658</v>
          </cell>
          <cell r="P89">
            <v>94.097461999999993</v>
          </cell>
          <cell r="Q89">
            <v>110.95228</v>
          </cell>
          <cell r="R89">
            <v>134.05430999999999</v>
          </cell>
        </row>
        <row r="90">
          <cell r="A90">
            <v>69</v>
          </cell>
          <cell r="B90">
            <v>48.388835999999998</v>
          </cell>
          <cell r="C90">
            <v>50.110422999999997</v>
          </cell>
          <cell r="D90">
            <v>52.766075000000001</v>
          </cell>
          <cell r="E90">
            <v>55.191490999999999</v>
          </cell>
          <cell r="F90">
            <v>55.911893999999997</v>
          </cell>
          <cell r="G90">
            <v>56.241345000000003</v>
          </cell>
          <cell r="H90">
            <v>56.794383857142861</v>
          </cell>
          <cell r="I90">
            <v>58.176980999999998</v>
          </cell>
          <cell r="J90">
            <v>60.316003000000002</v>
          </cell>
          <cell r="K90">
            <v>63.654122999999998</v>
          </cell>
          <cell r="L90">
            <v>66.441513999999998</v>
          </cell>
          <cell r="M90">
            <v>70.195586000000006</v>
          </cell>
          <cell r="N90">
            <v>76.093701999999993</v>
          </cell>
          <cell r="O90">
            <v>82.075877000000006</v>
          </cell>
          <cell r="P90">
            <v>95.522746999999995</v>
          </cell>
          <cell r="Q90">
            <v>112.61744</v>
          </cell>
          <cell r="R90">
            <v>136.05358000000001</v>
          </cell>
        </row>
        <row r="91">
          <cell r="A91">
            <v>70</v>
          </cell>
          <cell r="B91">
            <v>49.239446000000001</v>
          </cell>
          <cell r="C91">
            <v>50.978634</v>
          </cell>
          <cell r="D91">
            <v>53.661504000000001</v>
          </cell>
          <cell r="E91">
            <v>56.112048000000001</v>
          </cell>
          <cell r="F91">
            <v>56.839993999999997</v>
          </cell>
          <cell r="G91">
            <v>57.172908999999997</v>
          </cell>
          <cell r="H91">
            <v>57.73182328571427</v>
          </cell>
          <cell r="I91">
            <v>59.129109</v>
          </cell>
          <cell r="J91">
            <v>61.291331999999997</v>
          </cell>
          <cell r="K91">
            <v>64.666799999999995</v>
          </cell>
          <cell r="L91">
            <v>67.486504999999994</v>
          </cell>
          <cell r="M91">
            <v>71.285674</v>
          </cell>
          <cell r="N91">
            <v>77.257846999999998</v>
          </cell>
          <cell r="O91">
            <v>83.318252000000001</v>
          </cell>
          <cell r="P91">
            <v>96.948106999999993</v>
          </cell>
          <cell r="Q91">
            <v>114.28263</v>
          </cell>
          <cell r="R91">
            <v>138.05287000000001</v>
          </cell>
        </row>
        <row r="93">
          <cell r="A93">
            <v>71</v>
          </cell>
          <cell r="B93">
            <v>50.091312000000002</v>
          </cell>
          <cell r="C93">
            <v>51.847999999999999</v>
          </cell>
          <cell r="D93">
            <v>54.557938</v>
          </cell>
          <cell r="E93">
            <v>57.033481999999999</v>
          </cell>
          <cell r="F93">
            <v>57.768935999999997</v>
          </cell>
          <cell r="G93">
            <v>58.105297999999998</v>
          </cell>
          <cell r="H93">
            <v>58.670061714285694</v>
          </cell>
          <cell r="I93">
            <v>60.081971000000003</v>
          </cell>
          <cell r="J93">
            <v>62.267302000000001</v>
          </cell>
          <cell r="K93">
            <v>65.679992999999996</v>
          </cell>
          <cell r="L93">
            <v>68.531923000000006</v>
          </cell>
          <cell r="M93">
            <v>72.376092</v>
          </cell>
          <cell r="N93">
            <v>78.422213999999997</v>
          </cell>
          <cell r="O93">
            <v>84.560781000000006</v>
          </cell>
          <cell r="P93">
            <v>98.373542</v>
          </cell>
          <cell r="Q93">
            <v>115.94786000000001</v>
          </cell>
          <cell r="R93">
            <v>140.05216999999999</v>
          </cell>
        </row>
        <row r="94">
          <cell r="A94">
            <v>72</v>
          </cell>
          <cell r="B94">
            <v>50.944406999999998</v>
          </cell>
          <cell r="C94">
            <v>52.718494999999997</v>
          </cell>
          <cell r="D94">
            <v>55.455354</v>
          </cell>
          <cell r="E94">
            <v>57.955773000000001</v>
          </cell>
          <cell r="F94">
            <v>58.698698</v>
          </cell>
          <cell r="G94">
            <v>59.038493000000003</v>
          </cell>
          <cell r="H94">
            <v>59.609080428571431</v>
          </cell>
          <cell r="I94">
            <v>61.035549000000003</v>
          </cell>
          <cell r="J94">
            <v>63.243896999999997</v>
          </cell>
          <cell r="K94">
            <v>66.693686999999997</v>
          </cell>
          <cell r="L94">
            <v>69.577754999999996</v>
          </cell>
          <cell r="M94">
            <v>73.466830999999999</v>
          </cell>
          <cell r="N94">
            <v>79.586796000000007</v>
          </cell>
          <cell r="O94">
            <v>85.803455999999997</v>
          </cell>
          <cell r="P94">
            <v>99.799047000000002</v>
          </cell>
          <cell r="Q94">
            <v>117.61313</v>
          </cell>
          <cell r="R94">
            <v>142.0515</v>
          </cell>
        </row>
        <row r="95">
          <cell r="A95">
            <v>73</v>
          </cell>
          <cell r="B95">
            <v>51.798703000000003</v>
          </cell>
          <cell r="C95">
            <v>53.590093000000003</v>
          </cell>
          <cell r="D95">
            <v>56.353729999999999</v>
          </cell>
          <cell r="E95">
            <v>58.878901999999997</v>
          </cell>
          <cell r="F95">
            <v>59.629263999999999</v>
          </cell>
          <cell r="G95">
            <v>59.972475000000003</v>
          </cell>
          <cell r="H95">
            <v>60.548860999999995</v>
          </cell>
          <cell r="I95">
            <v>61.989826000000001</v>
          </cell>
          <cell r="J95">
            <v>64.221102999999999</v>
          </cell>
          <cell r="K95">
            <v>67.70787</v>
          </cell>
          <cell r="L95">
            <v>70.623992000000001</v>
          </cell>
          <cell r="M95">
            <v>74.557880999999995</v>
          </cell>
          <cell r="N95">
            <v>80.751587999999998</v>
          </cell>
          <cell r="O95">
            <v>87.046274999999994</v>
          </cell>
          <cell r="P95">
            <v>101.22462</v>
          </cell>
          <cell r="Q95">
            <v>119.27843</v>
          </cell>
          <cell r="R95">
            <v>144.05083999999999</v>
          </cell>
        </row>
        <row r="96">
          <cell r="A96">
            <v>74</v>
          </cell>
          <cell r="B96">
            <v>52.654175000000002</v>
          </cell>
          <cell r="C96">
            <v>54.462772000000001</v>
          </cell>
          <cell r="D96">
            <v>57.253045</v>
          </cell>
          <cell r="E96">
            <v>59.802849000000002</v>
          </cell>
          <cell r="F96">
            <v>60.560614000000001</v>
          </cell>
          <cell r="G96">
            <v>60.907226999999999</v>
          </cell>
          <cell r="H96">
            <v>61.489387285714265</v>
          </cell>
          <cell r="I96">
            <v>62.944788000000003</v>
          </cell>
          <cell r="J96">
            <v>65.198904999999996</v>
          </cell>
          <cell r="K96">
            <v>68.722531000000004</v>
          </cell>
          <cell r="L96">
            <v>71.670623000000006</v>
          </cell>
          <cell r="M96">
            <v>75.649235000000004</v>
          </cell>
          <cell r="N96">
            <v>81.916582000000005</v>
          </cell>
          <cell r="O96">
            <v>88.289231999999998</v>
          </cell>
          <cell r="P96">
            <v>102.65026</v>
          </cell>
          <cell r="Q96">
            <v>120.94377</v>
          </cell>
          <cell r="R96">
            <v>146.05019999999999</v>
          </cell>
        </row>
        <row r="97">
          <cell r="A97">
            <v>75</v>
          </cell>
          <cell r="B97">
            <v>53.510798000000001</v>
          </cell>
          <cell r="C97">
            <v>55.336506999999997</v>
          </cell>
          <cell r="D97">
            <v>58.153278999999998</v>
          </cell>
          <cell r="E97">
            <v>60.727597000000003</v>
          </cell>
          <cell r="F97">
            <v>61.492731999999997</v>
          </cell>
          <cell r="G97">
            <v>61.842731000000001</v>
          </cell>
          <cell r="H97">
            <v>62.430641285714309</v>
          </cell>
          <cell r="I97">
            <v>63.900416999999997</v>
          </cell>
          <cell r="J97">
            <v>66.177289999999999</v>
          </cell>
          <cell r="K97">
            <v>69.737656999999999</v>
          </cell>
          <cell r="L97">
            <v>72.717637999999994</v>
          </cell>
          <cell r="M97">
            <v>76.740885000000006</v>
          </cell>
          <cell r="N97">
            <v>83.081773999999996</v>
          </cell>
          <cell r="O97">
            <v>89.532323000000005</v>
          </cell>
          <cell r="P97">
            <v>104.07597</v>
          </cell>
          <cell r="Q97">
            <v>122.60912999999999</v>
          </cell>
          <cell r="R97">
            <v>148.04957999999999</v>
          </cell>
        </row>
        <row r="99">
          <cell r="A99">
            <v>76</v>
          </cell>
          <cell r="B99">
            <v>54.368547999999997</v>
          </cell>
          <cell r="C99">
            <v>56.211278</v>
          </cell>
          <cell r="D99">
            <v>59.054411999999999</v>
          </cell>
          <cell r="E99">
            <v>61.653128000000002</v>
          </cell>
          <cell r="F99">
            <v>62.425600000000003</v>
          </cell>
          <cell r="G99">
            <v>62.778970999999999</v>
          </cell>
          <cell r="H99">
            <v>63.37260757142856</v>
          </cell>
          <cell r="I99">
            <v>64.856699000000006</v>
          </cell>
          <cell r="J99">
            <v>67.156244000000001</v>
          </cell>
          <cell r="K99">
            <v>70.753237999999996</v>
          </cell>
          <cell r="L99">
            <v>73.765027000000003</v>
          </cell>
          <cell r="M99">
            <v>77.832821999999993</v>
          </cell>
          <cell r="N99">
            <v>84.247157999999999</v>
          </cell>
          <cell r="O99">
            <v>90.775544999999994</v>
          </cell>
          <cell r="P99">
            <v>105.50174</v>
          </cell>
          <cell r="Q99">
            <v>124.27453</v>
          </cell>
          <cell r="R99">
            <v>150.04897</v>
          </cell>
        </row>
        <row r="100">
          <cell r="A100">
            <v>77</v>
          </cell>
          <cell r="B100">
            <v>55.227401999999998</v>
          </cell>
          <cell r="C100">
            <v>57.087060999999999</v>
          </cell>
          <cell r="D100">
            <v>59.956425000000003</v>
          </cell>
          <cell r="E100">
            <v>62.579425999999998</v>
          </cell>
          <cell r="F100">
            <v>63.359203000000001</v>
          </cell>
          <cell r="G100">
            <v>63.715930999999998</v>
          </cell>
          <cell r="H100">
            <v>64.315270428571438</v>
          </cell>
          <cell r="I100">
            <v>65.813619000000003</v>
          </cell>
          <cell r="J100">
            <v>68.135752999999994</v>
          </cell>
          <cell r="K100">
            <v>71.769262999999995</v>
          </cell>
          <cell r="L100">
            <v>74.812781999999999</v>
          </cell>
          <cell r="M100">
            <v>78.925039999999996</v>
          </cell>
          <cell r="N100">
            <v>85.412727000000004</v>
          </cell>
          <cell r="O100">
            <v>92.018893000000006</v>
          </cell>
          <cell r="P100">
            <v>106.92756</v>
          </cell>
          <cell r="Q100">
            <v>125.93996</v>
          </cell>
          <cell r="R100">
            <v>152.04837000000001</v>
          </cell>
        </row>
        <row r="101">
          <cell r="A101">
            <v>78</v>
          </cell>
          <cell r="B101">
            <v>56.087338000000003</v>
          </cell>
          <cell r="C101">
            <v>57.963836999999998</v>
          </cell>
          <cell r="D101">
            <v>60.859299</v>
          </cell>
          <cell r="E101">
            <v>63.506473999999997</v>
          </cell>
          <cell r="F101">
            <v>64.293524000000005</v>
          </cell>
          <cell r="G101">
            <v>64.653594999999996</v>
          </cell>
          <cell r="H101">
            <v>65.258614714285699</v>
          </cell>
          <cell r="I101">
            <v>66.771163999999999</v>
          </cell>
          <cell r="J101">
            <v>69.115807000000004</v>
          </cell>
          <cell r="K101">
            <v>72.785720999999995</v>
          </cell>
          <cell r="L101">
            <v>75.860893000000004</v>
          </cell>
          <cell r="M101">
            <v>80.017531000000005</v>
          </cell>
          <cell r="N101">
            <v>86.578479000000002</v>
          </cell>
          <cell r="O101">
            <v>93.262362999999993</v>
          </cell>
          <cell r="P101">
            <v>108.35345</v>
          </cell>
          <cell r="Q101">
            <v>127.60541000000001</v>
          </cell>
          <cell r="R101">
            <v>154.04778999999999</v>
          </cell>
        </row>
        <row r="102">
          <cell r="A102">
            <v>79</v>
          </cell>
          <cell r="B102">
            <v>56.948332999999998</v>
          </cell>
          <cell r="C102">
            <v>58.841586</v>
          </cell>
          <cell r="D102">
            <v>61.763018000000002</v>
          </cell>
          <cell r="E102">
            <v>64.434256000000005</v>
          </cell>
          <cell r="F102">
            <v>65.228548000000004</v>
          </cell>
          <cell r="G102">
            <v>65.591949</v>
          </cell>
          <cell r="H102">
            <v>66.202626714285728</v>
          </cell>
          <cell r="I102">
            <v>67.729320999999999</v>
          </cell>
          <cell r="J102">
            <v>70.096391999999994</v>
          </cell>
          <cell r="K102">
            <v>73.802603000000005</v>
          </cell>
          <cell r="L102">
            <v>76.909352999999996</v>
          </cell>
          <cell r="M102">
            <v>81.110287999999997</v>
          </cell>
          <cell r="N102">
            <v>87.744405999999998</v>
          </cell>
          <cell r="O102">
            <v>94.505953000000005</v>
          </cell>
          <cell r="P102">
            <v>109.77939000000001</v>
          </cell>
          <cell r="Q102">
            <v>129.27090000000001</v>
          </cell>
          <cell r="R102">
            <v>156.04723000000001</v>
          </cell>
        </row>
        <row r="103">
          <cell r="A103">
            <v>80</v>
          </cell>
          <cell r="B103">
            <v>57.810366999999999</v>
          </cell>
          <cell r="C103">
            <v>59.720287999999996</v>
          </cell>
          <cell r="D103">
            <v>62.667563999999999</v>
          </cell>
          <cell r="E103">
            <v>65.362757000000002</v>
          </cell>
          <cell r="F103">
            <v>66.164260999999996</v>
          </cell>
          <cell r="G103">
            <v>66.530976999999993</v>
          </cell>
          <cell r="H103">
            <v>67.147290714285703</v>
          </cell>
          <cell r="I103">
            <v>68.688074999999998</v>
          </cell>
          <cell r="J103">
            <v>71.077496999999994</v>
          </cell>
          <cell r="K103">
            <v>74.819897999999995</v>
          </cell>
          <cell r="L103">
            <v>77.958151999999998</v>
          </cell>
          <cell r="M103">
            <v>82.203305</v>
          </cell>
          <cell r="N103">
            <v>88.910505000000001</v>
          </cell>
          <cell r="O103">
            <v>95.749657999999997</v>
          </cell>
          <cell r="P103">
            <v>111.20538999999999</v>
          </cell>
          <cell r="Q103">
            <v>130.93639999999999</v>
          </cell>
          <cell r="R103">
            <v>158.04667000000001</v>
          </cell>
        </row>
        <row r="104">
          <cell r="A104">
            <v>81</v>
          </cell>
          <cell r="B104">
            <v>58.67342</v>
          </cell>
          <cell r="C104">
            <v>60.599924000000001</v>
          </cell>
          <cell r="D104">
            <v>63.572920000000003</v>
          </cell>
          <cell r="E104">
            <v>66.291962999999996</v>
          </cell>
          <cell r="F104">
            <v>67.100649000000004</v>
          </cell>
          <cell r="G104">
            <v>67.470667000000006</v>
          </cell>
          <cell r="H104">
            <v>68.092594999999989</v>
          </cell>
          <cell r="I104">
            <v>69.647414999999995</v>
          </cell>
          <cell r="J104">
            <v>72.059111000000001</v>
          </cell>
          <cell r="K104">
            <v>75.837598999999997</v>
          </cell>
          <cell r="L104">
            <v>79.007283000000001</v>
          </cell>
          <cell r="M104">
            <v>83.296575000000004</v>
          </cell>
          <cell r="N104">
            <v>90.076769999999996</v>
          </cell>
          <cell r="O104">
            <v>96.993476000000001</v>
          </cell>
          <cell r="P104">
            <v>112.63142999999999</v>
          </cell>
          <cell r="Q104">
            <v>132.60194000000001</v>
          </cell>
          <cell r="R104">
            <v>160.04613000000001</v>
          </cell>
        </row>
        <row r="105">
          <cell r="A105">
            <v>82</v>
          </cell>
          <cell r="B105">
            <v>59.537470999999996</v>
          </cell>
          <cell r="C105">
            <v>61.480474999999998</v>
          </cell>
          <cell r="D105">
            <v>64.479069999999993</v>
          </cell>
          <cell r="E105">
            <v>67.221858999999995</v>
          </cell>
          <cell r="F105">
            <v>68.037698000000006</v>
          </cell>
          <cell r="G105">
            <v>68.411005000000003</v>
          </cell>
          <cell r="H105">
            <v>69.038525857142858</v>
          </cell>
          <cell r="I105">
            <v>70.607327999999995</v>
          </cell>
          <cell r="J105">
            <v>73.041223000000002</v>
          </cell>
          <cell r="K105">
            <v>76.855694</v>
          </cell>
          <cell r="L105">
            <v>80.056737999999996</v>
          </cell>
          <cell r="M105">
            <v>84.390091999999996</v>
          </cell>
          <cell r="N105">
            <v>91.243199000000004</v>
          </cell>
          <cell r="O105">
            <v>98.237403</v>
          </cell>
          <cell r="P105">
            <v>114.05753</v>
          </cell>
          <cell r="Q105">
            <v>134.26750000000001</v>
          </cell>
          <cell r="R105">
            <v>162.04561000000001</v>
          </cell>
        </row>
        <row r="106">
          <cell r="A106">
            <v>83</v>
          </cell>
          <cell r="B106">
            <v>60.402503000000003</v>
          </cell>
          <cell r="C106">
            <v>62.361925999999997</v>
          </cell>
          <cell r="D106">
            <v>65.385998999999998</v>
          </cell>
          <cell r="E106">
            <v>68.152431000000007</v>
          </cell>
          <cell r="F106">
            <v>68.975393999999994</v>
          </cell>
          <cell r="G106">
            <v>69.351977000000005</v>
          </cell>
          <cell r="H106">
            <v>69.985070142857154</v>
          </cell>
          <cell r="I106">
            <v>71.567802999999998</v>
          </cell>
          <cell r="J106">
            <v>74.023822999999993</v>
          </cell>
          <cell r="K106">
            <v>77.874177000000003</v>
          </cell>
          <cell r="L106">
            <v>81.106510999999998</v>
          </cell>
          <cell r="M106">
            <v>85.483851000000001</v>
          </cell>
          <cell r="N106">
            <v>92.409785999999997</v>
          </cell>
          <cell r="O106">
            <v>99.481436000000002</v>
          </cell>
          <cell r="P106">
            <v>115.48368000000001</v>
          </cell>
          <cell r="Q106">
            <v>135.93307999999999</v>
          </cell>
          <cell r="R106">
            <v>164.04508999999999</v>
          </cell>
        </row>
        <row r="107">
          <cell r="A107">
            <v>84</v>
          </cell>
          <cell r="B107">
            <v>61.268495000000001</v>
          </cell>
          <cell r="C107">
            <v>63.244256999999998</v>
          </cell>
          <cell r="D107">
            <v>66.293690999999995</v>
          </cell>
          <cell r="E107">
            <v>69.083667000000005</v>
          </cell>
          <cell r="F107">
            <v>69.913724999999999</v>
          </cell>
          <cell r="G107">
            <v>70.293571</v>
          </cell>
          <cell r="H107">
            <v>70.93221585714285</v>
          </cell>
          <cell r="I107">
            <v>72.528828000000004</v>
          </cell>
          <cell r="J107">
            <v>75.006900000000002</v>
          </cell>
          <cell r="K107">
            <v>78.893038000000004</v>
          </cell>
          <cell r="L107">
            <v>82.156592000000003</v>
          </cell>
          <cell r="M107">
            <v>86.577843999999999</v>
          </cell>
          <cell r="N107">
            <v>93.576526999999999</v>
          </cell>
          <cell r="O107">
            <v>100.72557</v>
          </cell>
          <cell r="P107">
            <v>116.90988</v>
          </cell>
          <cell r="Q107">
            <v>137.59869</v>
          </cell>
          <cell r="R107">
            <v>166.04459</v>
          </cell>
        </row>
        <row r="108">
          <cell r="A108">
            <v>85</v>
          </cell>
          <cell r="B108">
            <v>62.135432000000002</v>
          </cell>
          <cell r="C108">
            <v>64.127454</v>
          </cell>
          <cell r="D108">
            <v>67.202133000000003</v>
          </cell>
          <cell r="E108">
            <v>70.015552999999997</v>
          </cell>
          <cell r="F108">
            <v>70.852677999999997</v>
          </cell>
          <cell r="G108">
            <v>71.235774000000006</v>
          </cell>
          <cell r="H108">
            <v>71.87995057142858</v>
          </cell>
          <cell r="I108">
            <v>73.490392</v>
          </cell>
          <cell r="J108">
            <v>75.990443999999997</v>
          </cell>
          <cell r="K108">
            <v>79.912268999999995</v>
          </cell>
          <cell r="L108">
            <v>83.206976999999995</v>
          </cell>
          <cell r="M108">
            <v>87.672067999999996</v>
          </cell>
          <cell r="N108">
            <v>94.743418000000005</v>
          </cell>
          <cell r="O108">
            <v>101.96981</v>
          </cell>
          <cell r="P108">
            <v>118.33611999999999</v>
          </cell>
          <cell r="Q108">
            <v>139.26432</v>
          </cell>
          <cell r="R108">
            <v>168.04409000000001</v>
          </cell>
        </row>
        <row r="110">
          <cell r="A110">
            <v>86</v>
          </cell>
          <cell r="B110">
            <v>63.003293999999997</v>
          </cell>
          <cell r="C110">
            <v>65.011499000000001</v>
          </cell>
          <cell r="D110">
            <v>68.111309000000006</v>
          </cell>
          <cell r="E110">
            <v>70.948076</v>
          </cell>
          <cell r="F110">
            <v>71.792241000000004</v>
          </cell>
          <cell r="G110">
            <v>72.178576000000007</v>
          </cell>
          <cell r="H110">
            <v>72.828264285714283</v>
          </cell>
          <cell r="I110">
            <v>74.452484999999996</v>
          </cell>
          <cell r="J110">
            <v>76.974446999999998</v>
          </cell>
          <cell r="K110">
            <v>80.931863000000007</v>
          </cell>
          <cell r="L110">
            <v>84.257656999999995</v>
          </cell>
          <cell r="M110">
            <v>88.766516999999993</v>
          </cell>
          <cell r="N110">
            <v>95.910455999999996</v>
          </cell>
          <cell r="O110">
            <v>103.21414</v>
          </cell>
          <cell r="P110">
            <v>119.76241</v>
          </cell>
          <cell r="Q110">
            <v>140.92997</v>
          </cell>
          <cell r="R110">
            <v>170.04361</v>
          </cell>
        </row>
        <row r="111">
          <cell r="A111">
            <v>87</v>
          </cell>
          <cell r="B111">
            <v>63.872064999999999</v>
          </cell>
          <cell r="C111">
            <v>65.896377000000001</v>
          </cell>
          <cell r="D111">
            <v>69.021206000000006</v>
          </cell>
          <cell r="E111">
            <v>71.881225000000001</v>
          </cell>
          <cell r="F111">
            <v>72.732403000000005</v>
          </cell>
          <cell r="G111">
            <v>73.121964000000006</v>
          </cell>
          <cell r="H111">
            <v>73.777144285714286</v>
          </cell>
          <cell r="I111">
            <v>75.415094999999994</v>
          </cell>
          <cell r="J111">
            <v>77.958898000000005</v>
          </cell>
          <cell r="K111">
            <v>81.951812000000004</v>
          </cell>
          <cell r="L111">
            <v>85.308627000000001</v>
          </cell>
          <cell r="M111">
            <v>89.861183999999994</v>
          </cell>
          <cell r="N111">
            <v>97.077636999999996</v>
          </cell>
          <cell r="O111">
            <v>104.45856999999999</v>
          </cell>
          <cell r="P111">
            <v>121.18875</v>
          </cell>
          <cell r="Q111">
            <v>142.59564</v>
          </cell>
          <cell r="R111">
            <v>172.04313999999999</v>
          </cell>
        </row>
        <row r="112">
          <cell r="A112">
            <v>88</v>
          </cell>
          <cell r="B112">
            <v>64.741729000000007</v>
          </cell>
          <cell r="C112">
            <v>66.782072999999997</v>
          </cell>
          <cell r="D112">
            <v>69.931810999999996</v>
          </cell>
          <cell r="E112">
            <v>72.814988</v>
          </cell>
          <cell r="F112">
            <v>73.673152000000002</v>
          </cell>
          <cell r="G112">
            <v>74.065927000000002</v>
          </cell>
          <cell r="H112">
            <v>74.72658042857141</v>
          </cell>
          <cell r="I112">
            <v>76.378214</v>
          </cell>
          <cell r="J112">
            <v>78.943790000000007</v>
          </cell>
          <cell r="K112">
            <v>82.972108000000006</v>
          </cell>
          <cell r="L112">
            <v>86.359881000000001</v>
          </cell>
          <cell r="M112">
            <v>90.956067000000004</v>
          </cell>
          <cell r="N112">
            <v>98.244956999999999</v>
          </cell>
          <cell r="O112">
            <v>105.70310000000001</v>
          </cell>
          <cell r="P112">
            <v>122.61512</v>
          </cell>
          <cell r="Q112">
            <v>144.26132999999999</v>
          </cell>
          <cell r="R112">
            <v>174.04267999999999</v>
          </cell>
        </row>
        <row r="113">
          <cell r="A113">
            <v>89</v>
          </cell>
          <cell r="B113">
            <v>65.612269999999995</v>
          </cell>
          <cell r="C113">
            <v>67.668571999999998</v>
          </cell>
          <cell r="D113">
            <v>70.843110999999993</v>
          </cell>
          <cell r="E113">
            <v>73.749352999999999</v>
          </cell>
          <cell r="F113">
            <v>74.614476999999994</v>
          </cell>
          <cell r="G113">
            <v>75.010453999999996</v>
          </cell>
          <cell r="H113">
            <v>75.676561714285697</v>
          </cell>
          <cell r="I113">
            <v>77.341830999999999</v>
          </cell>
          <cell r="J113">
            <v>79.929113000000001</v>
          </cell>
          <cell r="K113">
            <v>83.992744000000002</v>
          </cell>
          <cell r="L113">
            <v>87.411411999999999</v>
          </cell>
          <cell r="M113">
            <v>92.051158000000001</v>
          </cell>
          <cell r="N113">
            <v>99.412413999999998</v>
          </cell>
          <cell r="O113">
            <v>106.94771</v>
          </cell>
          <cell r="P113">
            <v>124.04154</v>
          </cell>
          <cell r="Q113">
            <v>145.92705000000001</v>
          </cell>
          <cell r="R113">
            <v>176.04222999999999</v>
          </cell>
        </row>
        <row r="114">
          <cell r="A114">
            <v>90</v>
          </cell>
          <cell r="B114">
            <v>66.483672999999996</v>
          </cell>
          <cell r="C114">
            <v>68.555860999999993</v>
          </cell>
          <cell r="D114">
            <v>71.755094</v>
          </cell>
          <cell r="E114">
            <v>74.684308999999999</v>
          </cell>
          <cell r="F114">
            <v>75.556368000000006</v>
          </cell>
          <cell r="G114">
            <v>75.955535999999995</v>
          </cell>
          <cell r="H114">
            <v>76.627078857142862</v>
          </cell>
          <cell r="I114">
            <v>78.305936000000003</v>
          </cell>
          <cell r="J114">
            <v>80.914857999999995</v>
          </cell>
          <cell r="K114">
            <v>85.013713999999993</v>
          </cell>
          <cell r="L114">
            <v>88.463213999999994</v>
          </cell>
          <cell r="M114">
            <v>93.146455000000003</v>
          </cell>
          <cell r="N114">
            <v>100.58</v>
          </cell>
          <cell r="O114">
            <v>108.19241</v>
          </cell>
          <cell r="P114">
            <v>125.468</v>
          </cell>
          <cell r="Q114">
            <v>147.59278</v>
          </cell>
          <cell r="R114">
            <v>178.04177999999999</v>
          </cell>
        </row>
        <row r="116">
          <cell r="A116">
            <v>91</v>
          </cell>
          <cell r="B116">
            <v>67.355922000000007</v>
          </cell>
          <cell r="C116">
            <v>69.443923999999996</v>
          </cell>
          <cell r="D116">
            <v>72.667745999999994</v>
          </cell>
          <cell r="E116">
            <v>75.619844999999998</v>
          </cell>
          <cell r="F116">
            <v>76.498812999999998</v>
          </cell>
          <cell r="G116">
            <v>76.901161000000002</v>
          </cell>
          <cell r="H116">
            <v>77.578121285714289</v>
          </cell>
          <cell r="I116">
            <v>79.270522</v>
          </cell>
          <cell r="J116">
            <v>81.901017999999993</v>
          </cell>
          <cell r="K116">
            <v>86.035010999999997</v>
          </cell>
          <cell r="L116">
            <v>89.515281999999999</v>
          </cell>
          <cell r="M116">
            <v>94.241951999999998</v>
          </cell>
          <cell r="N116">
            <v>101.74772</v>
          </cell>
          <cell r="O116">
            <v>109.4372</v>
          </cell>
          <cell r="P116">
            <v>126.89449</v>
          </cell>
          <cell r="Q116">
            <v>149.25853000000001</v>
          </cell>
          <cell r="R116">
            <v>180.04134999999999</v>
          </cell>
        </row>
        <row r="117">
          <cell r="A117">
            <v>92</v>
          </cell>
          <cell r="B117">
            <v>68.229004000000003</v>
          </cell>
          <cell r="C117">
            <v>70.332749000000007</v>
          </cell>
          <cell r="D117">
            <v>73.581057000000001</v>
          </cell>
          <cell r="E117">
            <v>76.555952000000005</v>
          </cell>
          <cell r="F117">
            <v>77.441804000000005</v>
          </cell>
          <cell r="G117">
            <v>77.847319999999996</v>
          </cell>
          <cell r="H117">
            <v>78.529679428571427</v>
          </cell>
          <cell r="I117">
            <v>80.235578000000004</v>
          </cell>
          <cell r="J117">
            <v>82.887585999999999</v>
          </cell>
          <cell r="K117">
            <v>87.056628000000003</v>
          </cell>
          <cell r="L117">
            <v>90.567610000000002</v>
          </cell>
          <cell r="M117">
            <v>95.337644999999995</v>
          </cell>
          <cell r="N117">
            <v>102.91557</v>
          </cell>
          <cell r="O117">
            <v>110.68207</v>
          </cell>
          <cell r="P117">
            <v>128.32103000000001</v>
          </cell>
          <cell r="Q117">
            <v>150.92429999999999</v>
          </cell>
          <cell r="R117">
            <v>182.04093</v>
          </cell>
        </row>
        <row r="118">
          <cell r="A118">
            <v>93</v>
          </cell>
          <cell r="B118">
            <v>69.102902</v>
          </cell>
          <cell r="C118">
            <v>71.222323000000003</v>
          </cell>
          <cell r="D118">
            <v>74.495013999999998</v>
          </cell>
          <cell r="E118">
            <v>77.492617999999993</v>
          </cell>
          <cell r="F118">
            <v>78.385329999999996</v>
          </cell>
          <cell r="G118">
            <v>78.794002000000006</v>
          </cell>
          <cell r="H118">
            <v>79.481743142857127</v>
          </cell>
          <cell r="I118">
            <v>81.201096000000007</v>
          </cell>
          <cell r="J118">
            <v>83.874551999999994</v>
          </cell>
          <cell r="K118">
            <v>88.078558999999998</v>
          </cell>
          <cell r="L118">
            <v>91.620193</v>
          </cell>
          <cell r="M118">
            <v>96.433528999999993</v>
          </cell>
          <cell r="N118">
            <v>104.08353</v>
          </cell>
          <cell r="O118">
            <v>111.92702</v>
          </cell>
          <cell r="P118">
            <v>129.74760000000001</v>
          </cell>
          <cell r="Q118">
            <v>152.59008</v>
          </cell>
          <cell r="R118">
            <v>184.04051000000001</v>
          </cell>
        </row>
        <row r="119">
          <cell r="A119">
            <v>94</v>
          </cell>
          <cell r="B119">
            <v>69.977605999999994</v>
          </cell>
          <cell r="C119">
            <v>72.112632000000005</v>
          </cell>
          <cell r="D119">
            <v>75.409606999999994</v>
          </cell>
          <cell r="E119">
            <v>78.429834</v>
          </cell>
          <cell r="F119">
            <v>79.329380999999998</v>
          </cell>
          <cell r="G119">
            <v>79.741201000000004</v>
          </cell>
          <cell r="H119">
            <v>80.434305571428595</v>
          </cell>
          <cell r="I119">
            <v>82.167067000000003</v>
          </cell>
          <cell r="J119">
            <v>84.861909999999995</v>
          </cell>
          <cell r="K119">
            <v>89.100797999999998</v>
          </cell>
          <cell r="L119">
            <v>92.673025999999993</v>
          </cell>
          <cell r="M119">
            <v>97.529601</v>
          </cell>
          <cell r="N119">
            <v>105.25162</v>
          </cell>
          <cell r="O119">
            <v>113.17205</v>
          </cell>
          <cell r="P119">
            <v>131.17420999999999</v>
          </cell>
          <cell r="Q119">
            <v>154.25587999999999</v>
          </cell>
          <cell r="R119">
            <v>186.0401</v>
          </cell>
        </row>
        <row r="120">
          <cell r="A120">
            <v>95</v>
          </cell>
          <cell r="B120">
            <v>70.853099999999998</v>
          </cell>
          <cell r="C120">
            <v>73.003664999999998</v>
          </cell>
          <cell r="D120">
            <v>76.324824000000007</v>
          </cell>
          <cell r="E120">
            <v>79.367590000000007</v>
          </cell>
          <cell r="F120">
            <v>80.273949000000002</v>
          </cell>
          <cell r="G120">
            <v>80.688903999999994</v>
          </cell>
          <cell r="H120">
            <v>81.387355428571411</v>
          </cell>
          <cell r="I120">
            <v>83.133483999999996</v>
          </cell>
          <cell r="J120">
            <v>85.849653000000004</v>
          </cell>
          <cell r="K120">
            <v>90.123339000000001</v>
          </cell>
          <cell r="L120">
            <v>93.726104000000007</v>
          </cell>
          <cell r="M120">
            <v>98.625856999999996</v>
          </cell>
          <cell r="N120">
            <v>106.41983</v>
          </cell>
          <cell r="O120">
            <v>114.41715000000001</v>
          </cell>
          <cell r="P120">
            <v>132.60085000000001</v>
          </cell>
          <cell r="Q120">
            <v>155.92169999999999</v>
          </cell>
          <cell r="R120">
            <v>188.03971000000001</v>
          </cell>
        </row>
        <row r="122">
          <cell r="A122">
            <v>96</v>
          </cell>
          <cell r="B122">
            <v>71.729371</v>
          </cell>
          <cell r="C122">
            <v>73.895409999999998</v>
          </cell>
          <cell r="D122">
            <v>77.240656000000001</v>
          </cell>
          <cell r="E122">
            <v>80.305878000000007</v>
          </cell>
          <cell r="F122">
            <v>81.219024000000005</v>
          </cell>
          <cell r="G122">
            <v>81.637105000000005</v>
          </cell>
          <cell r="H122">
            <v>82.340886142857158</v>
          </cell>
          <cell r="I122">
            <v>84.100339000000005</v>
          </cell>
          <cell r="J122">
            <v>86.837772999999999</v>
          </cell>
          <cell r="K122">
            <v>91.146175999999997</v>
          </cell>
          <cell r="L122">
            <v>94.779420999999999</v>
          </cell>
          <cell r="M122">
            <v>99.722292999999993</v>
          </cell>
          <cell r="N122">
            <v>107.58815</v>
          </cell>
          <cell r="O122">
            <v>115.66234</v>
          </cell>
          <cell r="P122">
            <v>134.02752000000001</v>
          </cell>
          <cell r="Q122">
            <v>157.58753999999999</v>
          </cell>
          <cell r="R122">
            <v>190.03931</v>
          </cell>
        </row>
        <row r="123">
          <cell r="A123">
            <v>97</v>
          </cell>
          <cell r="B123">
            <v>72.606406000000007</v>
          </cell>
          <cell r="C123">
            <v>74.787853999999996</v>
          </cell>
          <cell r="D123">
            <v>78.157090999999994</v>
          </cell>
          <cell r="E123">
            <v>81.244686999999999</v>
          </cell>
          <cell r="F123">
            <v>82.164597999999998</v>
          </cell>
          <cell r="G123">
            <v>82.585792999999995</v>
          </cell>
          <cell r="H123">
            <v>83.294887571428589</v>
          </cell>
          <cell r="I123">
            <v>85.067623999999995</v>
          </cell>
          <cell r="J123">
            <v>87.826263999999995</v>
          </cell>
          <cell r="K123">
            <v>92.169302999999999</v>
          </cell>
          <cell r="L123">
            <v>95.832972999999996</v>
          </cell>
          <cell r="M123">
            <v>100.8189</v>
          </cell>
          <cell r="N123">
            <v>108.75659</v>
          </cell>
          <cell r="O123">
            <v>116.90759</v>
          </cell>
          <cell r="P123">
            <v>135.45423</v>
          </cell>
          <cell r="Q123">
            <v>159.25339</v>
          </cell>
          <cell r="R123">
            <v>192.03892999999999</v>
          </cell>
        </row>
        <row r="124">
          <cell r="A124">
            <v>98</v>
          </cell>
          <cell r="B124">
            <v>73.484195</v>
          </cell>
          <cell r="C124">
            <v>75.680986000000004</v>
          </cell>
          <cell r="D124">
            <v>79.074119999999994</v>
          </cell>
          <cell r="E124">
            <v>82.184010000000001</v>
          </cell>
          <cell r="F124">
            <v>83.110662000000005</v>
          </cell>
          <cell r="G124">
            <v>83.534963000000005</v>
          </cell>
          <cell r="H124">
            <v>84.249353857142879</v>
          </cell>
          <cell r="I124">
            <v>86.035330999999999</v>
          </cell>
          <cell r="J124">
            <v>88.815118999999996</v>
          </cell>
          <cell r="K124">
            <v>93.192716000000004</v>
          </cell>
          <cell r="L124">
            <v>96.886756000000005</v>
          </cell>
          <cell r="M124">
            <v>101.91569</v>
          </cell>
          <cell r="N124">
            <v>109.92513</v>
          </cell>
          <cell r="O124">
            <v>118.15291999999999</v>
          </cell>
          <cell r="P124">
            <v>136.88096999999999</v>
          </cell>
          <cell r="Q124">
            <v>160.91925000000001</v>
          </cell>
          <cell r="R124">
            <v>194.03854999999999</v>
          </cell>
        </row>
        <row r="125">
          <cell r="A125">
            <v>99</v>
          </cell>
          <cell r="B125">
            <v>74.362724</v>
          </cell>
          <cell r="C125">
            <v>76.574796000000006</v>
          </cell>
          <cell r="D125">
            <v>79.991733999999994</v>
          </cell>
          <cell r="E125">
            <v>83.123836999999995</v>
          </cell>
          <cell r="F125">
            <v>84.057209</v>
          </cell>
          <cell r="G125">
            <v>84.484603000000007</v>
          </cell>
          <cell r="H125">
            <v>85.204274428571452</v>
          </cell>
          <cell r="I125">
            <v>87.003452999999993</v>
          </cell>
          <cell r="J125">
            <v>89.804331000000005</v>
          </cell>
          <cell r="K125">
            <v>94.216408000000001</v>
          </cell>
          <cell r="L125">
            <v>97.940765999999996</v>
          </cell>
          <cell r="M125">
            <v>103.01264</v>
          </cell>
          <cell r="N125">
            <v>111.09378</v>
          </cell>
          <cell r="O125">
            <v>119.39832</v>
          </cell>
          <cell r="P125">
            <v>138.30775</v>
          </cell>
          <cell r="Q125">
            <v>162.58514</v>
          </cell>
          <cell r="R125">
            <v>196.03818999999999</v>
          </cell>
        </row>
        <row r="126">
          <cell r="A126">
            <v>100</v>
          </cell>
          <cell r="B126">
            <v>75.241981999999993</v>
          </cell>
          <cell r="C126">
            <v>77.469272000000004</v>
          </cell>
          <cell r="D126">
            <v>80.909920999999997</v>
          </cell>
          <cell r="E126">
            <v>84.064159000000004</v>
          </cell>
          <cell r="F126">
            <v>85.004230000000007</v>
          </cell>
          <cell r="G126">
            <v>85.434708000000001</v>
          </cell>
          <cell r="H126">
            <v>86.159644000000014</v>
          </cell>
          <cell r="I126">
            <v>87.971984000000006</v>
          </cell>
          <cell r="J126">
            <v>90.793895000000006</v>
          </cell>
          <cell r="K126">
            <v>95.240375</v>
          </cell>
          <cell r="L126">
            <v>98.994996999999998</v>
          </cell>
          <cell r="M126">
            <v>104.10975999999999</v>
          </cell>
          <cell r="N126">
            <v>112.26254</v>
          </cell>
          <cell r="O126">
            <v>120.64379</v>
          </cell>
          <cell r="P126">
            <v>139.73455000000001</v>
          </cell>
          <cell r="Q126">
            <v>164.25102999999999</v>
          </cell>
          <cell r="R126">
            <v>198.03782000000001</v>
          </cell>
        </row>
        <row r="128">
          <cell r="A128">
            <v>101</v>
          </cell>
          <cell r="B128">
            <v>76.121959000000004</v>
          </cell>
          <cell r="C128">
            <v>78.364401999999998</v>
          </cell>
          <cell r="D128">
            <v>81.828674000000007</v>
          </cell>
          <cell r="E128">
            <v>85.004969000000003</v>
          </cell>
          <cell r="F128">
            <v>85.951712999999998</v>
          </cell>
          <cell r="G128">
            <v>86.385265000000004</v>
          </cell>
          <cell r="H128">
            <v>87.115450428571464</v>
          </cell>
          <cell r="I128">
            <v>88.940914000000006</v>
          </cell>
          <cell r="J128">
            <v>91.783805000000001</v>
          </cell>
          <cell r="K128">
            <v>96.264612999999997</v>
          </cell>
          <cell r="L128">
            <v>100.04944999999999</v>
          </cell>
          <cell r="M128">
            <v>105.20704000000001</v>
          </cell>
          <cell r="N128">
            <v>113.4314</v>
          </cell>
          <cell r="O128">
            <v>121.88933</v>
          </cell>
          <cell r="P128">
            <v>141.16138000000001</v>
          </cell>
          <cell r="Q128">
            <v>165.91694000000001</v>
          </cell>
          <cell r="R128">
            <v>200.03747000000001</v>
          </cell>
        </row>
        <row r="129">
          <cell r="A129">
            <v>102</v>
          </cell>
          <cell r="B129">
            <v>77.002643000000006</v>
          </cell>
          <cell r="C129">
            <v>79.260180000000005</v>
          </cell>
          <cell r="D129">
            <v>82.747984000000002</v>
          </cell>
          <cell r="E129">
            <v>85.946261000000007</v>
          </cell>
          <cell r="F129">
            <v>86.899660999999995</v>
          </cell>
          <cell r="G129">
            <v>87.336281</v>
          </cell>
          <cell r="H129">
            <v>88.07169785714288</v>
          </cell>
          <cell r="I129">
            <v>89.910240000000002</v>
          </cell>
          <cell r="J129">
            <v>92.774052999999995</v>
          </cell>
          <cell r="K129">
            <v>97.289113999999998</v>
          </cell>
          <cell r="L129">
            <v>101.10411000000001</v>
          </cell>
          <cell r="M129">
            <v>106.30448</v>
          </cell>
          <cell r="N129">
            <v>114.60035999999999</v>
          </cell>
          <cell r="O129">
            <v>123.13493</v>
          </cell>
          <cell r="P129">
            <v>142.58824000000001</v>
          </cell>
          <cell r="Q129">
            <v>167.58286000000001</v>
          </cell>
          <cell r="R129">
            <v>202.03711999999999</v>
          </cell>
        </row>
        <row r="130">
          <cell r="A130">
            <v>103</v>
          </cell>
          <cell r="B130">
            <v>77.884017</v>
          </cell>
          <cell r="C130">
            <v>80.156593000000001</v>
          </cell>
          <cell r="D130">
            <v>83.667841999999993</v>
          </cell>
          <cell r="E130">
            <v>86.888022000000007</v>
          </cell>
          <cell r="F130">
            <v>87.848056</v>
          </cell>
          <cell r="G130">
            <v>88.287729999999996</v>
          </cell>
          <cell r="H130">
            <v>89.028365142857155</v>
          </cell>
          <cell r="I130">
            <v>90.879953</v>
          </cell>
          <cell r="J130">
            <v>93.764634999999998</v>
          </cell>
          <cell r="K130">
            <v>98.313873999999998</v>
          </cell>
          <cell r="L130">
            <v>102.15898</v>
          </cell>
          <cell r="M130">
            <v>107.40208</v>
          </cell>
          <cell r="N130">
            <v>115.76942</v>
          </cell>
          <cell r="O130">
            <v>124.38059</v>
          </cell>
          <cell r="P130">
            <v>144.01513</v>
          </cell>
          <cell r="Q130">
            <v>169.24879999999999</v>
          </cell>
          <cell r="R130">
            <v>204.03677999999999</v>
          </cell>
        </row>
        <row r="131">
          <cell r="A131">
            <v>104</v>
          </cell>
          <cell r="B131">
            <v>78.766076999999996</v>
          </cell>
          <cell r="C131">
            <v>81.053633000000005</v>
          </cell>
          <cell r="D131">
            <v>84.588233000000002</v>
          </cell>
          <cell r="E131">
            <v>87.830248999999995</v>
          </cell>
          <cell r="F131">
            <v>88.796895000000006</v>
          </cell>
          <cell r="G131">
            <v>89.239621</v>
          </cell>
          <cell r="H131">
            <v>89.985457857142862</v>
          </cell>
          <cell r="I131">
            <v>91.850049999999996</v>
          </cell>
          <cell r="J131">
            <v>94.755544</v>
          </cell>
          <cell r="K131">
            <v>99.338890000000006</v>
          </cell>
          <cell r="L131">
            <v>103.21406</v>
          </cell>
          <cell r="M131">
            <v>108.49982</v>
          </cell>
          <cell r="N131">
            <v>116.93859</v>
          </cell>
          <cell r="O131">
            <v>125.62632000000001</v>
          </cell>
          <cell r="P131">
            <v>145.44204999999999</v>
          </cell>
          <cell r="Q131">
            <v>170.91475</v>
          </cell>
          <cell r="R131">
            <v>206.03644</v>
          </cell>
        </row>
        <row r="132">
          <cell r="A132">
            <v>105</v>
          </cell>
          <cell r="B132">
            <v>79.648809</v>
          </cell>
          <cell r="C132">
            <v>81.951283000000004</v>
          </cell>
          <cell r="D132">
            <v>85.509162000000003</v>
          </cell>
          <cell r="E132">
            <v>88.772935000000004</v>
          </cell>
          <cell r="F132">
            <v>89.746187000000006</v>
          </cell>
          <cell r="G132">
            <v>90.191879</v>
          </cell>
          <cell r="H132">
            <v>90.942918428571403</v>
          </cell>
          <cell r="I132">
            <v>92.820516999999995</v>
          </cell>
          <cell r="J132">
            <v>95.746757000000002</v>
          </cell>
          <cell r="K132">
            <v>100.36417</v>
          </cell>
          <cell r="L132">
            <v>104.26934</v>
          </cell>
          <cell r="M132">
            <v>109.59771000000001</v>
          </cell>
          <cell r="N132">
            <v>118.10783000000001</v>
          </cell>
          <cell r="O132">
            <v>126.87211000000001</v>
          </cell>
          <cell r="P132">
            <v>146.869</v>
          </cell>
          <cell r="Q132">
            <v>172.58071000000001</v>
          </cell>
          <cell r="R132">
            <v>208.03611000000001</v>
          </cell>
        </row>
        <row r="134">
          <cell r="A134">
            <v>106</v>
          </cell>
          <cell r="B134">
            <v>80.532245000000003</v>
          </cell>
          <cell r="C134">
            <v>82.849597000000003</v>
          </cell>
          <cell r="D134">
            <v>86.430616999999998</v>
          </cell>
          <cell r="E134">
            <v>89.716009999999997</v>
          </cell>
          <cell r="F134">
            <v>90.695871999999994</v>
          </cell>
          <cell r="G134">
            <v>91.144655999999998</v>
          </cell>
          <cell r="H134">
            <v>91.900854285714303</v>
          </cell>
          <cell r="I134">
            <v>93.791349999999994</v>
          </cell>
          <cell r="J134">
            <v>96.738313000000005</v>
          </cell>
          <cell r="K134">
            <v>101.38968</v>
          </cell>
          <cell r="L134">
            <v>105.32481</v>
          </cell>
          <cell r="M134">
            <v>110.69576000000001</v>
          </cell>
          <cell r="N134">
            <v>119.27718</v>
          </cell>
          <cell r="O134">
            <v>128.11795000000001</v>
          </cell>
          <cell r="P134">
            <v>148.29597000000001</v>
          </cell>
          <cell r="Q134">
            <v>174.24668</v>
          </cell>
          <cell r="R134">
            <v>210.03578999999999</v>
          </cell>
        </row>
        <row r="135">
          <cell r="A135">
            <v>107</v>
          </cell>
          <cell r="B135">
            <v>81.416274000000001</v>
          </cell>
          <cell r="C135">
            <v>83.748407</v>
          </cell>
          <cell r="D135">
            <v>87.352587</v>
          </cell>
          <cell r="E135">
            <v>90.659667999999996</v>
          </cell>
          <cell r="F135">
            <v>91.646018999999995</v>
          </cell>
          <cell r="G135">
            <v>92.097809999999996</v>
          </cell>
          <cell r="H135">
            <v>92.859172285714308</v>
          </cell>
          <cell r="I135">
            <v>94.762578000000005</v>
          </cell>
          <cell r="J135">
            <v>97.730199999999996</v>
          </cell>
          <cell r="K135">
            <v>102.41543</v>
          </cell>
          <cell r="L135">
            <v>106.38051</v>
          </cell>
          <cell r="M135">
            <v>111.79395</v>
          </cell>
          <cell r="N135">
            <v>120.4466</v>
          </cell>
          <cell r="O135">
            <v>129.36385999999999</v>
          </cell>
          <cell r="P135">
            <v>149.72296</v>
          </cell>
          <cell r="Q135">
            <v>175.91266999999999</v>
          </cell>
          <cell r="R135">
            <v>212.03547</v>
          </cell>
        </row>
        <row r="136">
          <cell r="A136">
            <v>108</v>
          </cell>
          <cell r="B136">
            <v>82.300959000000006</v>
          </cell>
          <cell r="C136">
            <v>84.647857999999999</v>
          </cell>
          <cell r="D136">
            <v>88.275052000000002</v>
          </cell>
          <cell r="E136">
            <v>91.603658999999993</v>
          </cell>
          <cell r="F136">
            <v>92.596553999999998</v>
          </cell>
          <cell r="G136">
            <v>93.051368999999994</v>
          </cell>
          <cell r="H136">
            <v>93.817862142857138</v>
          </cell>
          <cell r="I136">
            <v>95.734094999999996</v>
          </cell>
          <cell r="J136">
            <v>98.722359999999995</v>
          </cell>
          <cell r="K136">
            <v>103.44137000000001</v>
          </cell>
          <cell r="L136">
            <v>107.43635</v>
          </cell>
          <cell r="M136">
            <v>112.89230000000001</v>
          </cell>
          <cell r="N136">
            <v>121.61615999999999</v>
          </cell>
          <cell r="O136">
            <v>130.60982999999999</v>
          </cell>
          <cell r="P136">
            <v>151.14998</v>
          </cell>
          <cell r="Q136">
            <v>177.57866000000001</v>
          </cell>
          <cell r="R136">
            <v>214.03515999999999</v>
          </cell>
        </row>
        <row r="137">
          <cell r="A137">
            <v>109</v>
          </cell>
          <cell r="B137">
            <v>83.186407000000003</v>
          </cell>
          <cell r="C137">
            <v>85.547816999999995</v>
          </cell>
          <cell r="D137">
            <v>89.198010999999994</v>
          </cell>
          <cell r="E137">
            <v>92.548120999999995</v>
          </cell>
          <cell r="F137">
            <v>93.547492000000005</v>
          </cell>
          <cell r="G137">
            <v>94.005342999999996</v>
          </cell>
          <cell r="H137">
            <v>94.776970142857152</v>
          </cell>
          <cell r="I137">
            <v>96.706038000000007</v>
          </cell>
          <cell r="J137">
            <v>99.714862999999994</v>
          </cell>
          <cell r="K137">
            <v>104.46768</v>
          </cell>
          <cell r="L137">
            <v>108.49239</v>
          </cell>
          <cell r="M137">
            <v>113.99075000000001</v>
          </cell>
          <cell r="N137">
            <v>122.78572</v>
          </cell>
          <cell r="O137">
            <v>131.85585</v>
          </cell>
          <cell r="P137">
            <v>152.57704000000001</v>
          </cell>
          <cell r="Q137">
            <v>179.24467000000001</v>
          </cell>
          <cell r="R137">
            <v>216.03485000000001</v>
          </cell>
        </row>
        <row r="138">
          <cell r="A138">
            <v>110</v>
          </cell>
          <cell r="B138">
            <v>84.072255999999996</v>
          </cell>
          <cell r="C138">
            <v>86.448558000000006</v>
          </cell>
          <cell r="D138">
            <v>90.121527</v>
          </cell>
          <cell r="E138">
            <v>93.493011999999993</v>
          </cell>
          <cell r="F138">
            <v>94.498806000000002</v>
          </cell>
          <cell r="G138">
            <v>94.959708000000006</v>
          </cell>
          <cell r="H138">
            <v>95.736439142857137</v>
          </cell>
          <cell r="I138">
            <v>97.678267000000005</v>
          </cell>
          <cell r="J138">
            <v>100.70759</v>
          </cell>
          <cell r="K138">
            <v>105.4941</v>
          </cell>
          <cell r="L138">
            <v>109.54867</v>
          </cell>
          <cell r="M138">
            <v>115.08936</v>
          </cell>
          <cell r="N138">
            <v>123.95544</v>
          </cell>
          <cell r="O138">
            <v>133.10191</v>
          </cell>
          <cell r="P138">
            <v>154.00409999999999</v>
          </cell>
          <cell r="Q138">
            <v>180.91068999999999</v>
          </cell>
          <cell r="R138">
            <v>218.03455</v>
          </cell>
        </row>
        <row r="140">
          <cell r="A140">
            <v>111</v>
          </cell>
          <cell r="B140">
            <v>84.958862999999994</v>
          </cell>
          <cell r="C140">
            <v>87.349665000000002</v>
          </cell>
          <cell r="D140">
            <v>91.045389</v>
          </cell>
          <cell r="E140">
            <v>94.438246000000007</v>
          </cell>
          <cell r="F140">
            <v>95.450637999999998</v>
          </cell>
          <cell r="G140">
            <v>95.914410000000004</v>
          </cell>
          <cell r="H140">
            <v>96.696262285714297</v>
          </cell>
          <cell r="I140">
            <v>98.650892999999996</v>
          </cell>
          <cell r="J140">
            <v>101.70065</v>
          </cell>
          <cell r="K140">
            <v>106.52081</v>
          </cell>
          <cell r="L140">
            <v>110.60504</v>
          </cell>
          <cell r="M140">
            <v>116.18808</v>
          </cell>
          <cell r="N140">
            <v>125.12522</v>
          </cell>
          <cell r="O140">
            <v>134.34805</v>
          </cell>
          <cell r="P140">
            <v>155.43118999999999</v>
          </cell>
          <cell r="Q140">
            <v>182.57671999999999</v>
          </cell>
          <cell r="R140">
            <v>220.03424999999999</v>
          </cell>
        </row>
        <row r="141">
          <cell r="A141">
            <v>112</v>
          </cell>
          <cell r="B141">
            <v>85.846078000000006</v>
          </cell>
          <cell r="C141">
            <v>88.251416000000006</v>
          </cell>
          <cell r="D141">
            <v>91.969812000000005</v>
          </cell>
          <cell r="E141">
            <v>95.383998000000005</v>
          </cell>
          <cell r="F141">
            <v>96.402728999999994</v>
          </cell>
          <cell r="G141">
            <v>96.869528000000003</v>
          </cell>
          <cell r="H141">
            <v>97.656477428571449</v>
          </cell>
          <cell r="I141">
            <v>99.623851000000002</v>
          </cell>
          <cell r="J141">
            <v>102.69401000000001</v>
          </cell>
          <cell r="K141">
            <v>107.54770000000001</v>
          </cell>
          <cell r="L141">
            <v>111.66167</v>
          </cell>
          <cell r="M141">
            <v>117.28697</v>
          </cell>
          <cell r="N141">
            <v>126.29507</v>
          </cell>
          <cell r="O141">
            <v>135.59422000000001</v>
          </cell>
          <cell r="P141">
            <v>156.85830999999999</v>
          </cell>
          <cell r="Q141">
            <v>184.24276</v>
          </cell>
          <cell r="R141">
            <v>222.03396000000001</v>
          </cell>
        </row>
        <row r="142">
          <cell r="A142">
            <v>113</v>
          </cell>
          <cell r="B142">
            <v>86.733818999999997</v>
          </cell>
          <cell r="C142">
            <v>89.153619000000006</v>
          </cell>
          <cell r="D142">
            <v>92.894756999999998</v>
          </cell>
          <cell r="E142">
            <v>96.330061000000001</v>
          </cell>
          <cell r="F142">
            <v>97.355368999999996</v>
          </cell>
          <cell r="G142">
            <v>97.825023999999999</v>
          </cell>
          <cell r="H142">
            <v>98.617054285714275</v>
          </cell>
          <cell r="I142">
            <v>100.59713000000001</v>
          </cell>
          <cell r="J142">
            <v>103.68762</v>
          </cell>
          <cell r="K142">
            <v>108.57485</v>
          </cell>
          <cell r="L142">
            <v>112.71843</v>
          </cell>
          <cell r="M142">
            <v>118.38596</v>
          </cell>
          <cell r="N142">
            <v>127.46501000000001</v>
          </cell>
          <cell r="O142">
            <v>136.84045</v>
          </cell>
          <cell r="P142">
            <v>158.28545</v>
          </cell>
          <cell r="Q142">
            <v>185.90880999999999</v>
          </cell>
          <cell r="R142">
            <v>224.03368</v>
          </cell>
        </row>
        <row r="143">
          <cell r="A143">
            <v>114</v>
          </cell>
          <cell r="B143">
            <v>87.622230999999999</v>
          </cell>
          <cell r="C143">
            <v>90.056432000000001</v>
          </cell>
          <cell r="D143">
            <v>93.820080000000004</v>
          </cell>
          <cell r="E143">
            <v>97.276533999999998</v>
          </cell>
          <cell r="F143">
            <v>98.308233000000001</v>
          </cell>
          <cell r="G143">
            <v>98.780880999999994</v>
          </cell>
          <cell r="H143">
            <v>99.577969285714289</v>
          </cell>
          <cell r="I143">
            <v>101.57069</v>
          </cell>
          <cell r="J143">
            <v>104.68153</v>
          </cell>
          <cell r="K143">
            <v>109.60217</v>
          </cell>
          <cell r="L143">
            <v>113.77536000000001</v>
          </cell>
          <cell r="M143">
            <v>119.48508</v>
          </cell>
          <cell r="N143">
            <v>128.63504</v>
          </cell>
          <cell r="O143">
            <v>138.08672000000001</v>
          </cell>
          <cell r="P143">
            <v>159.71261000000001</v>
          </cell>
          <cell r="Q143">
            <v>187.57487</v>
          </cell>
          <cell r="R143">
            <v>226.03339</v>
          </cell>
        </row>
        <row r="144">
          <cell r="A144">
            <v>115</v>
          </cell>
          <cell r="B144">
            <v>88.511189000000002</v>
          </cell>
          <cell r="C144">
            <v>90.959805000000003</v>
          </cell>
          <cell r="D144">
            <v>94.745908</v>
          </cell>
          <cell r="E144">
            <v>98.223450999999997</v>
          </cell>
          <cell r="F144">
            <v>99.261546999999993</v>
          </cell>
          <cell r="G144">
            <v>99.737143000000003</v>
          </cell>
          <cell r="H144">
            <v>100.53927071428573</v>
          </cell>
          <cell r="I144">
            <v>102.54459</v>
          </cell>
          <cell r="J144">
            <v>105.67572</v>
          </cell>
          <cell r="K144">
            <v>110.62974</v>
          </cell>
          <cell r="L144">
            <v>114.83248</v>
          </cell>
          <cell r="M144">
            <v>120.58436</v>
          </cell>
          <cell r="N144">
            <v>129.80513999999999</v>
          </cell>
          <cell r="O144">
            <v>139.33306999999999</v>
          </cell>
          <cell r="P144">
            <v>161.13978</v>
          </cell>
          <cell r="Q144">
            <v>189.24093999999999</v>
          </cell>
          <cell r="R144">
            <v>228.03312</v>
          </cell>
        </row>
        <row r="146">
          <cell r="A146">
            <v>116</v>
          </cell>
          <cell r="B146">
            <v>89.400711000000001</v>
          </cell>
          <cell r="C146">
            <v>91.863681999999997</v>
          </cell>
          <cell r="D146">
            <v>95.672168999999997</v>
          </cell>
          <cell r="E146">
            <v>99.170720000000003</v>
          </cell>
          <cell r="F146">
            <v>100.21514999999999</v>
          </cell>
          <cell r="G146">
            <v>100.69377</v>
          </cell>
          <cell r="H146">
            <v>101.50092428571426</v>
          </cell>
          <cell r="I146">
            <v>103.51881</v>
          </cell>
          <cell r="J146">
            <v>106.67017</v>
          </cell>
          <cell r="K146">
            <v>111.65752999999999</v>
          </cell>
          <cell r="L146">
            <v>115.88976</v>
          </cell>
          <cell r="M146">
            <v>121.6837</v>
          </cell>
          <cell r="N146">
            <v>130.9753</v>
          </cell>
          <cell r="O146">
            <v>140.57946000000001</v>
          </cell>
          <cell r="P146">
            <v>162.56699</v>
          </cell>
          <cell r="Q146">
            <v>190.90701999999999</v>
          </cell>
          <cell r="R146">
            <v>230.03285</v>
          </cell>
        </row>
        <row r="147">
          <cell r="A147">
            <v>117</v>
          </cell>
          <cell r="B147">
            <v>90.290773999999999</v>
          </cell>
          <cell r="C147">
            <v>92.768017</v>
          </cell>
          <cell r="D147">
            <v>96.598821000000001</v>
          </cell>
          <cell r="E147">
            <v>100.11839000000001</v>
          </cell>
          <cell r="F147">
            <v>101.1692</v>
          </cell>
          <cell r="G147">
            <v>101.65072000000001</v>
          </cell>
          <cell r="H147">
            <v>102.46291714285715</v>
          </cell>
          <cell r="I147">
            <v>104.49341</v>
          </cell>
          <cell r="J147">
            <v>107.66489</v>
          </cell>
          <cell r="K147">
            <v>112.68543</v>
          </cell>
          <cell r="L147">
            <v>116.94719000000001</v>
          </cell>
          <cell r="M147">
            <v>122.78322</v>
          </cell>
          <cell r="N147">
            <v>132.14555999999999</v>
          </cell>
          <cell r="O147">
            <v>141.82586000000001</v>
          </cell>
          <cell r="P147">
            <v>163.99421000000001</v>
          </cell>
          <cell r="Q147">
            <v>192.57311000000001</v>
          </cell>
          <cell r="R147">
            <v>232.03258</v>
          </cell>
        </row>
        <row r="148">
          <cell r="A148">
            <v>118</v>
          </cell>
          <cell r="B148">
            <v>91.181475000000006</v>
          </cell>
          <cell r="C148">
            <v>93.672987000000006</v>
          </cell>
          <cell r="D148">
            <v>97.526071999999999</v>
          </cell>
          <cell r="E148">
            <v>101.0664</v>
          </cell>
          <cell r="F148">
            <v>102.12358999999999</v>
          </cell>
          <cell r="G148">
            <v>102.60803</v>
          </cell>
          <cell r="H148">
            <v>103.42523857142861</v>
          </cell>
          <cell r="I148">
            <v>105.46826</v>
          </cell>
          <cell r="J148">
            <v>108.65985999999999</v>
          </cell>
          <cell r="K148">
            <v>113.71364</v>
          </cell>
          <cell r="L148">
            <v>118.00484</v>
          </cell>
          <cell r="M148">
            <v>123.88281000000001</v>
          </cell>
          <cell r="N148">
            <v>133.31587999999999</v>
          </cell>
          <cell r="O148">
            <v>143.07232999999999</v>
          </cell>
          <cell r="P148">
            <v>165.42144999999999</v>
          </cell>
          <cell r="Q148">
            <v>194.23921000000001</v>
          </cell>
          <cell r="R148">
            <v>234.03231</v>
          </cell>
        </row>
        <row r="149">
          <cell r="A149">
            <v>119</v>
          </cell>
          <cell r="B149">
            <v>92.072653000000003</v>
          </cell>
          <cell r="C149">
            <v>94.578191000000004</v>
          </cell>
          <cell r="D149">
            <v>98.453588999999994</v>
          </cell>
          <cell r="E149">
            <v>102.01483</v>
          </cell>
          <cell r="F149">
            <v>103.07837000000001</v>
          </cell>
          <cell r="G149">
            <v>103.56583999999999</v>
          </cell>
          <cell r="H149">
            <v>104.38801142857143</v>
          </cell>
          <cell r="I149">
            <v>106.44344</v>
          </cell>
          <cell r="J149">
            <v>109.65504</v>
          </cell>
          <cell r="K149">
            <v>114.74206</v>
          </cell>
          <cell r="L149">
            <v>119.06255</v>
          </cell>
          <cell r="M149">
            <v>124.98255</v>
          </cell>
          <cell r="N149">
            <v>134.48623000000001</v>
          </cell>
          <cell r="O149">
            <v>144.31885</v>
          </cell>
          <cell r="P149">
            <v>166.84871000000001</v>
          </cell>
          <cell r="Q149">
            <v>195.90530999999999</v>
          </cell>
          <cell r="R149">
            <v>236.03205</v>
          </cell>
        </row>
        <row r="150">
          <cell r="A150">
            <v>120</v>
          </cell>
          <cell r="B150">
            <v>92.964534</v>
          </cell>
          <cell r="C150">
            <v>95.484262999999999</v>
          </cell>
          <cell r="D150">
            <v>99.381617000000006</v>
          </cell>
          <cell r="E150">
            <v>102.9636</v>
          </cell>
          <cell r="F150">
            <v>104.03339</v>
          </cell>
          <cell r="G150">
            <v>104.52365</v>
          </cell>
          <cell r="H150">
            <v>105.35083571428574</v>
          </cell>
          <cell r="I150">
            <v>107.4188</v>
          </cell>
          <cell r="J150">
            <v>110.65069</v>
          </cell>
          <cell r="K150">
            <v>115.77057000000001</v>
          </cell>
          <cell r="L150">
            <v>120.1204</v>
          </cell>
          <cell r="M150">
            <v>126.08241</v>
          </cell>
          <cell r="N150">
            <v>135.65669</v>
          </cell>
          <cell r="O150">
            <v>145.56540000000001</v>
          </cell>
          <cell r="P150">
            <v>168.27599000000001</v>
          </cell>
          <cell r="Q150">
            <v>197.57142999999999</v>
          </cell>
          <cell r="R150">
            <v>238.0318</v>
          </cell>
        </row>
        <row r="151">
          <cell r="A151">
            <v>121</v>
          </cell>
          <cell r="B151">
            <v>93.856708999999995</v>
          </cell>
          <cell r="C151">
            <v>96.390575999999996</v>
          </cell>
          <cell r="D151">
            <v>100.3099</v>
          </cell>
          <cell r="E151">
            <v>103.91293</v>
          </cell>
          <cell r="F151">
            <v>104.98907</v>
          </cell>
          <cell r="G151">
            <v>105.48214</v>
          </cell>
          <cell r="H151">
            <v>106.31435142857143</v>
          </cell>
          <cell r="I151">
            <v>108.39488</v>
          </cell>
          <cell r="J151">
            <v>111.64664999999999</v>
          </cell>
          <cell r="K151">
            <v>116.79939</v>
          </cell>
          <cell r="L151">
            <v>121.17842</v>
          </cell>
          <cell r="M151">
            <v>127.18236</v>
          </cell>
          <cell r="N151">
            <v>136.8272</v>
          </cell>
          <cell r="O151">
            <v>146.81206</v>
          </cell>
          <cell r="P151">
            <v>169.70334</v>
          </cell>
          <cell r="Q151">
            <v>199.23756</v>
          </cell>
          <cell r="R151">
            <v>240.03155000000001</v>
          </cell>
        </row>
        <row r="152">
          <cell r="A152">
            <v>122</v>
          </cell>
          <cell r="B152">
            <v>94.749841000000004</v>
          </cell>
          <cell r="C152">
            <v>97.297695000000004</v>
          </cell>
          <cell r="D152">
            <v>101.23849</v>
          </cell>
          <cell r="E152">
            <v>104.86219</v>
          </cell>
          <cell r="F152">
            <v>105.94466</v>
          </cell>
          <cell r="G152">
            <v>106.44108</v>
          </cell>
          <cell r="H152">
            <v>107.27818000000001</v>
          </cell>
          <cell r="I152">
            <v>109.37093</v>
          </cell>
          <cell r="J152">
            <v>112.64259</v>
          </cell>
          <cell r="K152">
            <v>117.82841000000001</v>
          </cell>
          <cell r="L152">
            <v>122.23663000000001</v>
          </cell>
          <cell r="M152">
            <v>128.28247999999999</v>
          </cell>
          <cell r="N152">
            <v>137.99799999999999</v>
          </cell>
          <cell r="O152">
            <v>148.05865</v>
          </cell>
          <cell r="P152">
            <v>171.13059999999999</v>
          </cell>
          <cell r="Q152">
            <v>200.90367000000001</v>
          </cell>
          <cell r="R152">
            <v>242.03129999999999</v>
          </cell>
        </row>
        <row r="153">
          <cell r="A153">
            <v>123</v>
          </cell>
          <cell r="B153">
            <v>95.642707999999999</v>
          </cell>
          <cell r="C153">
            <v>98.205181999999994</v>
          </cell>
          <cell r="D153">
            <v>102.16793</v>
          </cell>
          <cell r="E153">
            <v>105.81193</v>
          </cell>
          <cell r="F153">
            <v>106.90058999999999</v>
          </cell>
          <cell r="G153">
            <v>107.39945</v>
          </cell>
          <cell r="H153">
            <v>108.24146714285712</v>
          </cell>
          <cell r="I153">
            <v>110.34650999999999</v>
          </cell>
          <cell r="J153">
            <v>113.63814000000001</v>
          </cell>
          <cell r="K153">
            <v>118.85737</v>
          </cell>
          <cell r="L153">
            <v>123.29531</v>
          </cell>
          <cell r="M153">
            <v>129.38228000000001</v>
          </cell>
          <cell r="N153">
            <v>139.16854000000001</v>
          </cell>
          <cell r="O153">
            <v>149.30556000000001</v>
          </cell>
          <cell r="P153">
            <v>172.55795000000001</v>
          </cell>
          <cell r="Q153">
            <v>202.56983</v>
          </cell>
          <cell r="R153">
            <v>244.03107</v>
          </cell>
        </row>
        <row r="154">
          <cell r="A154">
            <v>124</v>
          </cell>
          <cell r="B154">
            <v>96.535883999999996</v>
          </cell>
          <cell r="C154">
            <v>99.112570000000005</v>
          </cell>
          <cell r="D154">
            <v>103.09859</v>
          </cell>
          <cell r="E154">
            <v>106.76143999999999</v>
          </cell>
          <cell r="F154">
            <v>107.85757</v>
          </cell>
          <cell r="G154">
            <v>108.35894</v>
          </cell>
          <cell r="H154">
            <v>109.20574000000005</v>
          </cell>
          <cell r="I154">
            <v>111.32274</v>
          </cell>
          <cell r="J154">
            <v>114.63529</v>
          </cell>
          <cell r="K154">
            <v>119.88809999999999</v>
          </cell>
          <cell r="L154">
            <v>124.3537</v>
          </cell>
          <cell r="M154">
            <v>130.4828</v>
          </cell>
          <cell r="N154">
            <v>140.33946</v>
          </cell>
          <cell r="O154">
            <v>150.55224000000001</v>
          </cell>
          <cell r="P154">
            <v>173.98525000000001</v>
          </cell>
          <cell r="Q154">
            <v>204.23597000000001</v>
          </cell>
          <cell r="R154">
            <v>246.03081</v>
          </cell>
        </row>
        <row r="155">
          <cell r="A155">
            <v>125</v>
          </cell>
          <cell r="B155">
            <v>97.432261999999994</v>
          </cell>
          <cell r="C155">
            <v>100.02164999999999</v>
          </cell>
          <cell r="D155">
            <v>104.02719999999999</v>
          </cell>
          <cell r="E155">
            <v>107.71384999999999</v>
          </cell>
          <cell r="F155">
            <v>108.81265999999999</v>
          </cell>
          <cell r="G155">
            <v>109.31856000000001</v>
          </cell>
          <cell r="H155">
            <v>110.17028857142856</v>
          </cell>
          <cell r="I155">
            <v>112.29961</v>
          </cell>
          <cell r="J155">
            <v>115.63177</v>
          </cell>
          <cell r="K155">
            <v>120.9162</v>
          </cell>
          <cell r="L155">
            <v>125.41249000000001</v>
          </cell>
          <cell r="M155">
            <v>131.58464000000001</v>
          </cell>
          <cell r="N155">
            <v>141.50993</v>
          </cell>
          <cell r="O155">
            <v>151.79892000000001</v>
          </cell>
          <cell r="P155">
            <v>175.41290000000001</v>
          </cell>
          <cell r="Q155">
            <v>205.90204</v>
          </cell>
          <cell r="R155">
            <v>248.03055000000001</v>
          </cell>
        </row>
        <row r="157">
          <cell r="A157">
            <v>126</v>
          </cell>
          <cell r="B157">
            <v>98.328258000000005</v>
          </cell>
          <cell r="C157">
            <v>100.93127</v>
          </cell>
          <cell r="D157">
            <v>104.95529000000001</v>
          </cell>
          <cell r="E157">
            <v>108.66391</v>
          </cell>
          <cell r="F157">
            <v>109.77038</v>
          </cell>
          <cell r="G157">
            <v>110.28122999999999</v>
          </cell>
          <cell r="H157">
            <v>111.13680428571425</v>
          </cell>
          <cell r="I157">
            <v>113.27574</v>
          </cell>
          <cell r="J157">
            <v>116.63048999999999</v>
          </cell>
          <cell r="K157">
            <v>121.94528</v>
          </cell>
          <cell r="L157">
            <v>126.47169</v>
          </cell>
          <cell r="M157">
            <v>132.68405000000001</v>
          </cell>
          <cell r="N157">
            <v>142.68125000000001</v>
          </cell>
          <cell r="O157">
            <v>153.04524000000001</v>
          </cell>
          <cell r="P157">
            <v>176.83992000000001</v>
          </cell>
          <cell r="Q157">
            <v>207.56834000000001</v>
          </cell>
          <cell r="R157">
            <v>250.03036</v>
          </cell>
        </row>
        <row r="158">
          <cell r="A158">
            <v>127</v>
          </cell>
          <cell r="B158">
            <v>99.225099999999998</v>
          </cell>
          <cell r="C158">
            <v>101.8348</v>
          </cell>
          <cell r="D158">
            <v>105.88627</v>
          </cell>
          <cell r="E158">
            <v>109.61433</v>
          </cell>
          <cell r="F158">
            <v>110.72743</v>
          </cell>
          <cell r="G158">
            <v>111.23936</v>
          </cell>
          <cell r="H158">
            <v>112.10099428571429</v>
          </cell>
          <cell r="I158">
            <v>114.25508000000001</v>
          </cell>
          <cell r="J158">
            <v>117.62523</v>
          </cell>
          <cell r="K158">
            <v>122.97475</v>
          </cell>
          <cell r="L158">
            <v>127.52970000000001</v>
          </cell>
          <cell r="M158">
            <v>133.78407000000001</v>
          </cell>
          <cell r="N158">
            <v>143.85191</v>
          </cell>
          <cell r="O158">
            <v>154.29275999999999</v>
          </cell>
          <cell r="P158">
            <v>178.26742999999999</v>
          </cell>
          <cell r="Q158">
            <v>209.23445000000001</v>
          </cell>
          <cell r="R158">
            <v>252.03011000000001</v>
          </cell>
        </row>
        <row r="159">
          <cell r="A159">
            <v>128</v>
          </cell>
          <cell r="B159">
            <v>100.11802</v>
          </cell>
          <cell r="C159">
            <v>102.75081</v>
          </cell>
          <cell r="D159">
            <v>106.82008999999999</v>
          </cell>
          <cell r="E159">
            <v>110.56416</v>
          </cell>
          <cell r="F159">
            <v>111.68362</v>
          </cell>
          <cell r="G159">
            <v>112.19958</v>
          </cell>
          <cell r="H159">
            <v>113.06580571428576</v>
          </cell>
          <cell r="I159">
            <v>115.23137</v>
          </cell>
          <cell r="J159">
            <v>118.62551999999999</v>
          </cell>
          <cell r="K159">
            <v>124.00615000000001</v>
          </cell>
          <cell r="L159">
            <v>128.58855</v>
          </cell>
          <cell r="M159">
            <v>134.88425000000001</v>
          </cell>
          <cell r="N159">
            <v>145.02238</v>
          </cell>
          <cell r="O159">
            <v>155.53924000000001</v>
          </cell>
          <cell r="P159">
            <v>179.69471999999999</v>
          </cell>
          <cell r="Q159">
            <v>210.90065000000001</v>
          </cell>
          <cell r="R159">
            <v>254.02988999999999</v>
          </cell>
        </row>
        <row r="160">
          <cell r="A160">
            <v>129</v>
          </cell>
          <cell r="B160">
            <v>101.01237</v>
          </cell>
          <cell r="C160">
            <v>103.65721000000001</v>
          </cell>
          <cell r="D160">
            <v>107.7543</v>
          </cell>
          <cell r="E160">
            <v>111.52023</v>
          </cell>
          <cell r="F160">
            <v>112.64234</v>
          </cell>
          <cell r="G160">
            <v>113.16258999999999</v>
          </cell>
          <cell r="H160">
            <v>114.03302428571428</v>
          </cell>
          <cell r="I160">
            <v>116.20911</v>
          </cell>
          <cell r="J160">
            <v>119.62146</v>
          </cell>
          <cell r="K160">
            <v>125.03719</v>
          </cell>
          <cell r="L160">
            <v>129.64794000000001</v>
          </cell>
          <cell r="M160">
            <v>135.98523</v>
          </cell>
          <cell r="N160">
            <v>146.19415000000001</v>
          </cell>
          <cell r="O160">
            <v>156.78619</v>
          </cell>
          <cell r="P160">
            <v>181.12216000000001</v>
          </cell>
          <cell r="Q160">
            <v>212.56686999999999</v>
          </cell>
          <cell r="R160">
            <v>256.02965</v>
          </cell>
        </row>
        <row r="161">
          <cell r="A161">
            <v>130</v>
          </cell>
          <cell r="B161">
            <v>101.90778</v>
          </cell>
          <cell r="C161">
            <v>104.57111999999999</v>
          </cell>
          <cell r="D161">
            <v>108.68462</v>
          </cell>
          <cell r="E161">
            <v>112.47098</v>
          </cell>
          <cell r="F161">
            <v>113.60218</v>
          </cell>
          <cell r="G161">
            <v>114.12090000000001</v>
          </cell>
          <cell r="H161">
            <v>114.99784857142859</v>
          </cell>
          <cell r="I161">
            <v>117.19022</v>
          </cell>
          <cell r="J161">
            <v>120.6191</v>
          </cell>
          <cell r="K161">
            <v>126.0664</v>
          </cell>
          <cell r="L161">
            <v>130.70706999999999</v>
          </cell>
          <cell r="M161">
            <v>137.08698000000001</v>
          </cell>
          <cell r="N161">
            <v>147.36419000000001</v>
          </cell>
          <cell r="O161">
            <v>158.03314</v>
          </cell>
          <cell r="P161">
            <v>182.54973000000001</v>
          </cell>
          <cell r="Q161">
            <v>214.23302000000001</v>
          </cell>
          <cell r="R161">
            <v>258.02944000000002</v>
          </cell>
        </row>
        <row r="163">
          <cell r="A163">
            <v>131</v>
          </cell>
          <cell r="B163">
            <v>102.81126</v>
          </cell>
          <cell r="C163">
            <v>105.47846</v>
          </cell>
          <cell r="D163">
            <v>109.61663</v>
          </cell>
          <cell r="E163">
            <v>113.4216</v>
          </cell>
          <cell r="F163">
            <v>114.56099</v>
          </cell>
          <cell r="G163">
            <v>115.08347000000001</v>
          </cell>
          <cell r="H163">
            <v>115.96447857142859</v>
          </cell>
          <cell r="I163">
            <v>118.167</v>
          </cell>
          <cell r="J163">
            <v>121.61682999999999</v>
          </cell>
          <cell r="K163">
            <v>127.09591</v>
          </cell>
          <cell r="L163">
            <v>131.76733999999999</v>
          </cell>
          <cell r="M163">
            <v>138.18817999999999</v>
          </cell>
          <cell r="N163">
            <v>148.53620000000001</v>
          </cell>
          <cell r="O163">
            <v>159.28003000000001</v>
          </cell>
          <cell r="P163">
            <v>183.97712999999999</v>
          </cell>
          <cell r="Q163">
            <v>215.89919</v>
          </cell>
          <cell r="R163">
            <v>260.02924000000002</v>
          </cell>
        </row>
        <row r="164">
          <cell r="A164">
            <v>132</v>
          </cell>
          <cell r="B164">
            <v>103.70649</v>
          </cell>
          <cell r="C164">
            <v>106.39232</v>
          </cell>
          <cell r="D164">
            <v>110.55005</v>
          </cell>
          <cell r="E164">
            <v>114.3742</v>
          </cell>
          <cell r="F164">
            <v>115.52168</v>
          </cell>
          <cell r="G164">
            <v>116.04535</v>
          </cell>
          <cell r="H164">
            <v>116.93150142857144</v>
          </cell>
          <cell r="I164">
            <v>119.14688</v>
          </cell>
          <cell r="J164">
            <v>122.6151</v>
          </cell>
          <cell r="K164">
            <v>128.12646000000001</v>
          </cell>
          <cell r="L164">
            <v>132.82660999999999</v>
          </cell>
          <cell r="M164">
            <v>139.28844000000001</v>
          </cell>
          <cell r="N164">
            <v>149.70701</v>
          </cell>
          <cell r="O164">
            <v>160.52764999999999</v>
          </cell>
          <cell r="P164">
            <v>185.40463</v>
          </cell>
          <cell r="Q164">
            <v>217.56548000000001</v>
          </cell>
          <cell r="R164">
            <v>262.02904000000001</v>
          </cell>
        </row>
        <row r="165">
          <cell r="A165">
            <v>133</v>
          </cell>
          <cell r="B165">
            <v>104.60203</v>
          </cell>
          <cell r="C165">
            <v>107.30235999999999</v>
          </cell>
          <cell r="D165">
            <v>111.48223</v>
          </cell>
          <cell r="E165">
            <v>115.32838</v>
          </cell>
          <cell r="F165">
            <v>116.47878</v>
          </cell>
          <cell r="G165">
            <v>117.00666</v>
          </cell>
          <cell r="H165">
            <v>117.89739142857141</v>
          </cell>
          <cell r="I165">
            <v>120.12421999999999</v>
          </cell>
          <cell r="J165">
            <v>123.61356000000001</v>
          </cell>
          <cell r="K165">
            <v>129.15860000000001</v>
          </cell>
          <cell r="L165">
            <v>133.88675000000001</v>
          </cell>
          <cell r="M165">
            <v>140.39009999999999</v>
          </cell>
          <cell r="N165">
            <v>150.87885</v>
          </cell>
          <cell r="O165">
            <v>161.77430000000001</v>
          </cell>
          <cell r="P165">
            <v>186.83223000000001</v>
          </cell>
          <cell r="Q165">
            <v>219.23166000000001</v>
          </cell>
          <cell r="R165">
            <v>264.02884</v>
          </cell>
        </row>
        <row r="166">
          <cell r="A166">
            <v>134</v>
          </cell>
          <cell r="B166">
            <v>105.50165</v>
          </cell>
          <cell r="C166">
            <v>108.21322000000001</v>
          </cell>
          <cell r="D166">
            <v>112.41444</v>
          </cell>
          <cell r="E166">
            <v>116.28173</v>
          </cell>
          <cell r="F166">
            <v>117.43917999999999</v>
          </cell>
          <cell r="G166">
            <v>117.97007000000001</v>
          </cell>
          <cell r="H166">
            <v>118.86564714285717</v>
          </cell>
          <cell r="I166">
            <v>121.10459</v>
          </cell>
          <cell r="J166">
            <v>124.61246</v>
          </cell>
          <cell r="K166">
            <v>130.18925999999999</v>
          </cell>
          <cell r="L166">
            <v>134.94560000000001</v>
          </cell>
          <cell r="M166">
            <v>141.49080000000001</v>
          </cell>
          <cell r="N166">
            <v>152.04957999999999</v>
          </cell>
          <cell r="O166">
            <v>163.02161000000001</v>
          </cell>
          <cell r="P166">
            <v>188.25963999999999</v>
          </cell>
          <cell r="Q166">
            <v>220.89788999999999</v>
          </cell>
          <cell r="R166">
            <v>266.02863000000002</v>
          </cell>
        </row>
        <row r="167">
          <cell r="A167">
            <v>135</v>
          </cell>
          <cell r="B167">
            <v>106.40210999999999</v>
          </cell>
          <cell r="C167">
            <v>109.12905000000001</v>
          </cell>
          <cell r="D167">
            <v>113.34886</v>
          </cell>
          <cell r="E167">
            <v>117.23545</v>
          </cell>
          <cell r="F167">
            <v>118.39901</v>
          </cell>
          <cell r="G167">
            <v>118.93227</v>
          </cell>
          <cell r="H167">
            <v>119.83278142857141</v>
          </cell>
          <cell r="I167">
            <v>122.08405999999999</v>
          </cell>
          <cell r="J167">
            <v>125.61114999999999</v>
          </cell>
          <cell r="K167">
            <v>131.22067000000001</v>
          </cell>
          <cell r="L167">
            <v>136.00560999999999</v>
          </cell>
          <cell r="M167">
            <v>142.59213</v>
          </cell>
          <cell r="N167">
            <v>153.22129000000001</v>
          </cell>
          <cell r="O167">
            <v>164.26866000000001</v>
          </cell>
          <cell r="P167">
            <v>189.68718000000001</v>
          </cell>
          <cell r="Q167">
            <v>222.56406999999999</v>
          </cell>
          <cell r="R167">
            <v>268.02841000000001</v>
          </cell>
        </row>
        <row r="169">
          <cell r="A169">
            <v>136</v>
          </cell>
          <cell r="B169">
            <v>107.29877999999999</v>
          </cell>
          <cell r="C169">
            <v>110.04078</v>
          </cell>
          <cell r="D169">
            <v>114.28325</v>
          </cell>
          <cell r="E169">
            <v>118.19471</v>
          </cell>
          <cell r="F169">
            <v>119.35888</v>
          </cell>
          <cell r="G169">
            <v>119.89360000000001</v>
          </cell>
          <cell r="H169">
            <v>120.79804857142855</v>
          </cell>
          <cell r="I169">
            <v>123.05916999999999</v>
          </cell>
          <cell r="J169">
            <v>126.61073</v>
          </cell>
          <cell r="K169">
            <v>132.24893</v>
          </cell>
          <cell r="L169">
            <v>137.06762000000001</v>
          </cell>
          <cell r="M169">
            <v>143.69356999999999</v>
          </cell>
          <cell r="N169">
            <v>154.39324999999999</v>
          </cell>
          <cell r="O169">
            <v>165.51661999999999</v>
          </cell>
          <cell r="P169">
            <v>191.11465999999999</v>
          </cell>
          <cell r="Q169">
            <v>224.23014000000001</v>
          </cell>
          <cell r="R169">
            <v>270.02816999999999</v>
          </cell>
        </row>
        <row r="170">
          <cell r="A170">
            <v>137</v>
          </cell>
          <cell r="B170">
            <v>108.20509</v>
          </cell>
          <cell r="C170">
            <v>110.96032</v>
          </cell>
          <cell r="D170">
            <v>115.22497</v>
          </cell>
          <cell r="E170">
            <v>119.1473</v>
          </cell>
          <cell r="F170">
            <v>120.32131</v>
          </cell>
          <cell r="G170">
            <v>120.86479</v>
          </cell>
          <cell r="H170">
            <v>121.77275285714289</v>
          </cell>
          <cell r="I170">
            <v>124.04266</v>
          </cell>
          <cell r="J170">
            <v>127.61355</v>
          </cell>
          <cell r="K170">
            <v>133.27983</v>
          </cell>
          <cell r="L170">
            <v>138.12782999999999</v>
          </cell>
          <cell r="M170">
            <v>144.79512</v>
          </cell>
          <cell r="N170">
            <v>155.56414000000001</v>
          </cell>
          <cell r="O170">
            <v>166.76400000000001</v>
          </cell>
          <cell r="P170">
            <v>192.5421</v>
          </cell>
          <cell r="Q170">
            <v>225.89663999999999</v>
          </cell>
          <cell r="R170">
            <v>272.02800999999999</v>
          </cell>
        </row>
        <row r="171">
          <cell r="A171">
            <v>138</v>
          </cell>
          <cell r="B171">
            <v>109.10859000000001</v>
          </cell>
          <cell r="C171">
            <v>111.86400999999999</v>
          </cell>
          <cell r="D171">
            <v>116.15796</v>
          </cell>
          <cell r="E171">
            <v>120.10158</v>
          </cell>
          <cell r="F171">
            <v>121.28561000000001</v>
          </cell>
          <cell r="G171">
            <v>121.82518</v>
          </cell>
          <cell r="H171">
            <v>122.73926857142855</v>
          </cell>
          <cell r="I171">
            <v>125.02449</v>
          </cell>
          <cell r="J171">
            <v>128.62257</v>
          </cell>
          <cell r="K171">
            <v>134.30681000000001</v>
          </cell>
          <cell r="L171">
            <v>139.18915999999999</v>
          </cell>
          <cell r="M171">
            <v>145.8954</v>
          </cell>
          <cell r="N171">
            <v>156.73481000000001</v>
          </cell>
          <cell r="O171">
            <v>168.00676000000001</v>
          </cell>
          <cell r="P171">
            <v>193.96854999999999</v>
          </cell>
          <cell r="Q171">
            <v>227.56263000000001</v>
          </cell>
          <cell r="R171">
            <v>274.02789000000001</v>
          </cell>
        </row>
        <row r="172">
          <cell r="A172">
            <v>139</v>
          </cell>
          <cell r="B172">
            <v>110.01406</v>
          </cell>
          <cell r="C172">
            <v>112.80369</v>
          </cell>
          <cell r="D172">
            <v>117.07211</v>
          </cell>
          <cell r="E172">
            <v>121.0484</v>
          </cell>
          <cell r="F172">
            <v>122.23396</v>
          </cell>
          <cell r="G172">
            <v>122.78908</v>
          </cell>
          <cell r="H172">
            <v>123.71031714285712</v>
          </cell>
          <cell r="I172">
            <v>126.01340999999999</v>
          </cell>
          <cell r="J172">
            <v>129.60789</v>
          </cell>
          <cell r="K172">
            <v>135.34621999999999</v>
          </cell>
          <cell r="L172">
            <v>140.24126000000001</v>
          </cell>
          <cell r="M172">
            <v>147.0008</v>
          </cell>
          <cell r="N172">
            <v>157.90891999999999</v>
          </cell>
          <cell r="O172">
            <v>169.25890999999999</v>
          </cell>
          <cell r="P172">
            <v>195.39708999999999</v>
          </cell>
          <cell r="Q172">
            <v>229.22882000000001</v>
          </cell>
          <cell r="R172">
            <v>276.02776999999998</v>
          </cell>
        </row>
        <row r="173">
          <cell r="A173">
            <v>140</v>
          </cell>
          <cell r="B173">
            <v>110.91108</v>
          </cell>
          <cell r="C173">
            <v>113.70829999999999</v>
          </cell>
          <cell r="D173">
            <v>118.01769</v>
          </cell>
          <cell r="E173">
            <v>121.99572000000001</v>
          </cell>
          <cell r="F173">
            <v>123.22714000000001</v>
          </cell>
          <cell r="G173">
            <v>123.73717000000001</v>
          </cell>
          <cell r="H173">
            <v>124.67203000000002</v>
          </cell>
          <cell r="I173">
            <v>127.00918</v>
          </cell>
          <cell r="J173">
            <v>130.58872</v>
          </cell>
          <cell r="K173">
            <v>136.38697999999999</v>
          </cell>
          <cell r="L173">
            <v>141.30538000000001</v>
          </cell>
          <cell r="M173">
            <v>148.09742</v>
          </cell>
          <cell r="N173">
            <v>159.07670999999999</v>
          </cell>
          <cell r="O173">
            <v>170.50416000000001</v>
          </cell>
          <cell r="P173">
            <v>196.82347999999999</v>
          </cell>
          <cell r="Q173">
            <v>230.89492999999999</v>
          </cell>
          <cell r="R173">
            <v>278.02744000000001</v>
          </cell>
        </row>
        <row r="175">
          <cell r="A175">
            <v>141</v>
          </cell>
          <cell r="B175">
            <v>111.7788</v>
          </cell>
          <cell r="C175">
            <v>114.61713</v>
          </cell>
          <cell r="D175">
            <v>118.93575</v>
          </cell>
          <cell r="E175">
            <v>122.95713000000001</v>
          </cell>
          <cell r="F175">
            <v>124.15321</v>
          </cell>
          <cell r="G175">
            <v>124.703</v>
          </cell>
          <cell r="H175">
            <v>125.63571999999999</v>
          </cell>
          <cell r="I175">
            <v>127.96751999999999</v>
          </cell>
          <cell r="J175">
            <v>131.61904999999999</v>
          </cell>
          <cell r="K175">
            <v>137.42150000000001</v>
          </cell>
          <cell r="L175">
            <v>142.37640999999999</v>
          </cell>
          <cell r="M175">
            <v>149.20654999999999</v>
          </cell>
          <cell r="N175">
            <v>160.24440999999999</v>
          </cell>
          <cell r="O175">
            <v>171.75219999999999</v>
          </cell>
          <cell r="P175">
            <v>198.25622999999999</v>
          </cell>
          <cell r="Q175">
            <v>232.56138999999999</v>
          </cell>
          <cell r="R175">
            <v>280.02739000000003</v>
          </cell>
        </row>
        <row r="176">
          <cell r="A176">
            <v>142</v>
          </cell>
          <cell r="B176">
            <v>112.67734</v>
          </cell>
          <cell r="C176">
            <v>115.47342</v>
          </cell>
          <cell r="D176">
            <v>119.96259000000001</v>
          </cell>
          <cell r="E176">
            <v>123.88751000000001</v>
          </cell>
          <cell r="F176">
            <v>125.11644</v>
          </cell>
          <cell r="G176">
            <v>125.73023999999999</v>
          </cell>
          <cell r="H176">
            <v>126.65917714285713</v>
          </cell>
          <cell r="I176">
            <v>128.98151999999999</v>
          </cell>
          <cell r="J176">
            <v>132.58364</v>
          </cell>
          <cell r="K176">
            <v>138.4598</v>
          </cell>
          <cell r="L176">
            <v>143.45092</v>
          </cell>
          <cell r="M176">
            <v>150.30031</v>
          </cell>
          <cell r="N176">
            <v>161.43436</v>
          </cell>
          <cell r="O176">
            <v>173.00793999999999</v>
          </cell>
          <cell r="P176">
            <v>199.67339999999999</v>
          </cell>
          <cell r="Q176">
            <v>234.22734</v>
          </cell>
          <cell r="R176">
            <v>282.02739000000003</v>
          </cell>
        </row>
        <row r="177">
          <cell r="A177">
            <v>143</v>
          </cell>
          <cell r="B177">
            <v>113.54498</v>
          </cell>
          <cell r="C177">
            <v>116.33002</v>
          </cell>
          <cell r="D177">
            <v>120.76308</v>
          </cell>
          <cell r="E177">
            <v>124.93683</v>
          </cell>
          <cell r="F177">
            <v>126.1271</v>
          </cell>
          <cell r="G177">
            <v>126.6587</v>
          </cell>
          <cell r="H177">
            <v>127.59093428571425</v>
          </cell>
          <cell r="I177">
            <v>129.92151999999999</v>
          </cell>
          <cell r="J177">
            <v>133.56504000000001</v>
          </cell>
          <cell r="K177">
            <v>139.46617000000001</v>
          </cell>
          <cell r="L177">
            <v>144.52063000000001</v>
          </cell>
          <cell r="M177">
            <v>151.39510999999999</v>
          </cell>
          <cell r="N177">
            <v>162.60135</v>
          </cell>
          <cell r="O177">
            <v>174.24439000000001</v>
          </cell>
          <cell r="P177">
            <v>201.11336</v>
          </cell>
          <cell r="Q177">
            <v>235.89572000000001</v>
          </cell>
          <cell r="R177">
            <v>284.02681999999999</v>
          </cell>
        </row>
        <row r="178">
          <cell r="A178">
            <v>144</v>
          </cell>
          <cell r="B178">
            <v>114.44673</v>
          </cell>
          <cell r="C178">
            <v>117.24388</v>
          </cell>
          <cell r="D178">
            <v>121.83526000000001</v>
          </cell>
          <cell r="E178">
            <v>125.92207999999999</v>
          </cell>
          <cell r="F178">
            <v>127.07098000000001</v>
          </cell>
          <cell r="G178">
            <v>127.5728</v>
          </cell>
          <cell r="H178">
            <v>128.51924</v>
          </cell>
          <cell r="I178">
            <v>130.88534000000001</v>
          </cell>
          <cell r="J178">
            <v>134.58976000000001</v>
          </cell>
          <cell r="K178">
            <v>140.47228000000001</v>
          </cell>
          <cell r="L178">
            <v>145.51071999999999</v>
          </cell>
          <cell r="M178">
            <v>152.51199</v>
          </cell>
          <cell r="N178">
            <v>163.75129000000001</v>
          </cell>
          <cell r="O178">
            <v>175.50398000000001</v>
          </cell>
          <cell r="P178">
            <v>202.53366</v>
          </cell>
          <cell r="Q178">
            <v>237.56147000000001</v>
          </cell>
          <cell r="R178">
            <v>286.02679000000001</v>
          </cell>
        </row>
        <row r="179">
          <cell r="A179">
            <v>145</v>
          </cell>
          <cell r="B179">
            <v>115.34862</v>
          </cell>
          <cell r="C179">
            <v>118.15761000000001</v>
          </cell>
          <cell r="D179">
            <v>122.74539</v>
          </cell>
          <cell r="E179">
            <v>126.84676</v>
          </cell>
          <cell r="F179">
            <v>127.98676</v>
          </cell>
          <cell r="G179">
            <v>128.57023000000001</v>
          </cell>
          <cell r="H179">
            <v>129.54005285714285</v>
          </cell>
          <cell r="I179">
            <v>131.96460999999999</v>
          </cell>
          <cell r="J179">
            <v>135.68782999999999</v>
          </cell>
          <cell r="K179">
            <v>141.58099999999999</v>
          </cell>
          <cell r="L179">
            <v>146.62655000000001</v>
          </cell>
          <cell r="M179">
            <v>153.60076000000001</v>
          </cell>
          <cell r="N179">
            <v>164.92628999999999</v>
          </cell>
          <cell r="O179">
            <v>176.72732999999999</v>
          </cell>
          <cell r="P179">
            <v>203.96198000000001</v>
          </cell>
          <cell r="Q179">
            <v>239.22859</v>
          </cell>
          <cell r="R179">
            <v>288.02706999999998</v>
          </cell>
        </row>
        <row r="181">
          <cell r="A181">
            <v>146</v>
          </cell>
          <cell r="B181">
            <v>116.25434</v>
          </cell>
          <cell r="C181">
            <v>119.15765</v>
          </cell>
          <cell r="D181">
            <v>123.65881</v>
          </cell>
          <cell r="E181">
            <v>127.76251999999999</v>
          </cell>
          <cell r="F181">
            <v>128.96575000000001</v>
          </cell>
          <cell r="G181">
            <v>129.48983999999999</v>
          </cell>
          <cell r="H181">
            <v>130.46387714285711</v>
          </cell>
          <cell r="I181">
            <v>132.89896999999999</v>
          </cell>
          <cell r="J181">
            <v>136.61744999999999</v>
          </cell>
          <cell r="K181">
            <v>142.57361</v>
          </cell>
          <cell r="L181">
            <v>147.63964999999999</v>
          </cell>
          <cell r="M181">
            <v>154.72447</v>
          </cell>
          <cell r="N181">
            <v>166.12306000000001</v>
          </cell>
          <cell r="O181">
            <v>177.98812000000001</v>
          </cell>
          <cell r="P181">
            <v>205.39337</v>
          </cell>
          <cell r="Q181">
            <v>240.89359999999999</v>
          </cell>
          <cell r="R181">
            <v>290.02605</v>
          </cell>
        </row>
        <row r="182">
          <cell r="A182">
            <v>147</v>
          </cell>
          <cell r="B182">
            <v>117.17167999999999</v>
          </cell>
          <cell r="C182">
            <v>120.06412</v>
          </cell>
          <cell r="D182">
            <v>124.57316</v>
          </cell>
          <cell r="E182">
            <v>128.69163</v>
          </cell>
          <cell r="F182">
            <v>129.94282000000001</v>
          </cell>
          <cell r="G182">
            <v>130.46593999999999</v>
          </cell>
          <cell r="H182">
            <v>131.43673714285717</v>
          </cell>
          <cell r="I182">
            <v>133.86373</v>
          </cell>
          <cell r="J182">
            <v>137.62151</v>
          </cell>
          <cell r="K182">
            <v>143.55153000000001</v>
          </cell>
          <cell r="L182">
            <v>148.75725</v>
          </cell>
          <cell r="M182">
            <v>155.79469</v>
          </cell>
          <cell r="N182">
            <v>167.27037000000001</v>
          </cell>
          <cell r="O182">
            <v>179.24547000000001</v>
          </cell>
          <cell r="P182">
            <v>206.81885</v>
          </cell>
          <cell r="Q182">
            <v>242.55911</v>
          </cell>
          <cell r="R182">
            <v>292.02598999999998</v>
          </cell>
        </row>
        <row r="183">
          <cell r="A183">
            <v>148</v>
          </cell>
          <cell r="B183">
            <v>118.07308999999999</v>
          </cell>
          <cell r="C183">
            <v>120.97635</v>
          </cell>
          <cell r="D183">
            <v>125.50268</v>
          </cell>
          <cell r="E183">
            <v>129.62361999999999</v>
          </cell>
          <cell r="F183">
            <v>130.86259000000001</v>
          </cell>
          <cell r="G183">
            <v>131.39955</v>
          </cell>
          <cell r="H183">
            <v>132.37844714285717</v>
          </cell>
          <cell r="I183">
            <v>134.82569000000001</v>
          </cell>
          <cell r="J183">
            <v>138.58160000000001</v>
          </cell>
          <cell r="K183">
            <v>144.66573</v>
          </cell>
          <cell r="L183">
            <v>149.80546000000001</v>
          </cell>
          <cell r="M183">
            <v>156.89899</v>
          </cell>
          <cell r="N183">
            <v>168.47274999999999</v>
          </cell>
          <cell r="O183">
            <v>180.48066</v>
          </cell>
          <cell r="P183">
            <v>208.24117000000001</v>
          </cell>
          <cell r="Q183">
            <v>244.22623999999999</v>
          </cell>
          <cell r="R183">
            <v>294.02623999999997</v>
          </cell>
        </row>
        <row r="184">
          <cell r="A184">
            <v>149</v>
          </cell>
          <cell r="B184">
            <v>118.97765</v>
          </cell>
          <cell r="C184">
            <v>121.89915999999999</v>
          </cell>
          <cell r="D184">
            <v>126.41982</v>
          </cell>
          <cell r="E184">
            <v>130.58762999999999</v>
          </cell>
          <cell r="F184">
            <v>131.80484999999999</v>
          </cell>
          <cell r="G184">
            <v>132.45115999999999</v>
          </cell>
          <cell r="H184">
            <v>133.39738571428569</v>
          </cell>
          <cell r="I184">
            <v>135.76294999999999</v>
          </cell>
          <cell r="J184">
            <v>139.60753</v>
          </cell>
          <cell r="K184">
            <v>145.65011000000001</v>
          </cell>
          <cell r="L184">
            <v>150.84513000000001</v>
          </cell>
          <cell r="M184">
            <v>158.01544000000001</v>
          </cell>
          <cell r="N184">
            <v>169.61136999999999</v>
          </cell>
          <cell r="O184">
            <v>181.72377</v>
          </cell>
          <cell r="P184">
            <v>209.67373000000001</v>
          </cell>
          <cell r="Q184">
            <v>245.89386999999999</v>
          </cell>
          <cell r="R184">
            <v>296.02582000000001</v>
          </cell>
        </row>
        <row r="185">
          <cell r="A185">
            <v>150</v>
          </cell>
          <cell r="B185">
            <v>119.88208</v>
          </cell>
          <cell r="C185">
            <v>122.80894000000001</v>
          </cell>
          <cell r="D185">
            <v>127.39643</v>
          </cell>
          <cell r="E185">
            <v>131.5685</v>
          </cell>
          <cell r="F185">
            <v>132.83995999999999</v>
          </cell>
          <cell r="G185">
            <v>133.41435000000001</v>
          </cell>
          <cell r="H185">
            <v>134.39021571428572</v>
          </cell>
          <cell r="I185">
            <v>136.82988</v>
          </cell>
          <cell r="J185">
            <v>140.65921</v>
          </cell>
          <cell r="K185">
            <v>146.69784000000001</v>
          </cell>
          <cell r="L185">
            <v>151.94744</v>
          </cell>
          <cell r="M185">
            <v>159.11915999999999</v>
          </cell>
          <cell r="N185">
            <v>170.79954000000001</v>
          </cell>
          <cell r="O185">
            <v>182.96859000000001</v>
          </cell>
          <cell r="P185">
            <v>211.09929</v>
          </cell>
          <cell r="Q185">
            <v>247.55635000000001</v>
          </cell>
          <cell r="R185">
            <v>298.02589999999998</v>
          </cell>
        </row>
      </sheetData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P38"/>
  <sheetViews>
    <sheetView topLeftCell="A7" zoomScale="85" zoomScaleNormal="85" workbookViewId="0">
      <selection activeCell="C41" sqref="C41"/>
    </sheetView>
  </sheetViews>
  <sheetFormatPr defaultRowHeight="15" x14ac:dyDescent="0.25"/>
  <cols>
    <col min="1" max="1" width="9.140625" style="44"/>
    <col min="2" max="2" width="10.140625" style="44" bestFit="1" customWidth="1"/>
    <col min="3" max="3" width="42.42578125" style="44" bestFit="1" customWidth="1"/>
    <col min="4" max="4" width="15.28515625" style="44" bestFit="1" customWidth="1"/>
    <col min="5" max="5" width="14.42578125" style="44" bestFit="1" customWidth="1"/>
    <col min="6" max="6" width="10.140625" style="44" bestFit="1" customWidth="1"/>
    <col min="7" max="13" width="10" style="44" bestFit="1" customWidth="1"/>
    <col min="14" max="14" width="10.140625" style="44" bestFit="1" customWidth="1"/>
    <col min="15" max="15" width="11.28515625" style="44" customWidth="1"/>
    <col min="16" max="16" width="12" style="44" customWidth="1"/>
    <col min="17" max="16384" width="9.140625" style="44"/>
  </cols>
  <sheetData>
    <row r="1" spans="2:16" ht="15.75" thickBot="1" x14ac:dyDescent="0.3"/>
    <row r="2" spans="2:16" x14ac:dyDescent="0.25">
      <c r="C2" s="82"/>
      <c r="D2" s="83" t="s">
        <v>288</v>
      </c>
      <c r="E2" s="83"/>
      <c r="F2" s="84"/>
    </row>
    <row r="3" spans="2:16" x14ac:dyDescent="0.25">
      <c r="C3" s="85"/>
      <c r="D3" s="86" t="s">
        <v>18</v>
      </c>
      <c r="E3" s="86" t="s">
        <v>23</v>
      </c>
      <c r="F3" s="87" t="s">
        <v>19</v>
      </c>
    </row>
    <row r="4" spans="2:16" x14ac:dyDescent="0.25">
      <c r="C4" s="85" t="s">
        <v>216</v>
      </c>
      <c r="D4" s="86">
        <f>465269</f>
        <v>465269</v>
      </c>
      <c r="E4" s="86">
        <f>Dach_Future_Volume/inputs!B3</f>
        <v>622441.94061036163</v>
      </c>
      <c r="F4" s="157"/>
    </row>
    <row r="5" spans="2:16" x14ac:dyDescent="0.25">
      <c r="C5" s="85" t="s">
        <v>217</v>
      </c>
      <c r="D5" s="55">
        <f>D4*inputs!B3*inputs!B4</f>
        <v>154418.12841</v>
      </c>
      <c r="E5" s="55">
        <f>E6/inputs!L29</f>
        <v>242752.35683804104</v>
      </c>
      <c r="F5" s="157">
        <f>Dach_Future_Volume/Dash_Current_Volume</f>
        <v>1.5720457133990271</v>
      </c>
    </row>
    <row r="6" spans="2:16" ht="15.75" thickBot="1" x14ac:dyDescent="0.3">
      <c r="C6" s="88" t="s">
        <v>344</v>
      </c>
      <c r="D6" s="207">
        <f>Dash_Current_Volume*inputs!L29</f>
        <v>4922.0790975414275</v>
      </c>
      <c r="E6" s="207">
        <f>'Core Urban'!AI26*6</f>
        <v>7737.7333463009536</v>
      </c>
      <c r="F6" s="208"/>
    </row>
    <row r="8" spans="2:16" x14ac:dyDescent="0.25">
      <c r="B8" s="161" t="s">
        <v>180</v>
      </c>
      <c r="G8" s="89"/>
      <c r="H8" s="89"/>
    </row>
    <row r="9" spans="2:16" ht="15.75" thickBot="1" x14ac:dyDescent="0.3">
      <c r="B9" s="161"/>
      <c r="G9" s="89"/>
      <c r="N9" s="89"/>
      <c r="P9" s="45"/>
    </row>
    <row r="10" spans="2:16" x14ac:dyDescent="0.25">
      <c r="B10" s="82" t="s">
        <v>305</v>
      </c>
      <c r="C10" s="151"/>
      <c r="D10" s="151"/>
      <c r="E10" s="151"/>
      <c r="F10" s="151"/>
      <c r="G10" s="151"/>
      <c r="H10" s="151"/>
      <c r="I10" s="151"/>
      <c r="J10" s="151"/>
      <c r="K10" s="151"/>
      <c r="L10" s="151"/>
      <c r="M10" s="151"/>
      <c r="N10" s="151"/>
      <c r="O10" s="84"/>
    </row>
    <row r="11" spans="2:16" x14ac:dyDescent="0.25">
      <c r="B11" s="85"/>
      <c r="C11" s="40"/>
      <c r="D11" s="55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152"/>
    </row>
    <row r="12" spans="2:16" x14ac:dyDescent="0.25">
      <c r="B12" s="85" t="s">
        <v>181</v>
      </c>
      <c r="C12" s="40" t="s">
        <v>169</v>
      </c>
      <c r="D12" s="130">
        <f>Dash_Current_Volume</f>
        <v>154418.12841</v>
      </c>
      <c r="E12" s="130">
        <v>0</v>
      </c>
      <c r="F12" s="130">
        <f>1*O12/10</f>
        <v>24275.235683804105</v>
      </c>
      <c r="G12" s="130">
        <f>2*O12/10</f>
        <v>48550.47136760821</v>
      </c>
      <c r="H12" s="130">
        <f>3*O12/10</f>
        <v>72825.707051412319</v>
      </c>
      <c r="I12" s="130">
        <f>4*O12/10</f>
        <v>97100.94273521642</v>
      </c>
      <c r="J12" s="130">
        <f>5*O12/10</f>
        <v>121376.17841902052</v>
      </c>
      <c r="K12" s="130">
        <f>6*O12/10</f>
        <v>145651.41410282464</v>
      </c>
      <c r="L12" s="130">
        <f>7*O12/10</f>
        <v>169926.64978662872</v>
      </c>
      <c r="M12" s="130">
        <f>8*O12/10</f>
        <v>194201.88547043284</v>
      </c>
      <c r="N12" s="130">
        <f>9*O12/10</f>
        <v>218477.12115423693</v>
      </c>
      <c r="O12" s="153">
        <f>'Core Urban'!AI26*6/inputs!L29</f>
        <v>242752.35683804104</v>
      </c>
    </row>
    <row r="13" spans="2:16" x14ac:dyDescent="0.25">
      <c r="B13" s="85" t="s">
        <v>167</v>
      </c>
      <c r="C13" s="40" t="s">
        <v>162</v>
      </c>
      <c r="D13" s="129">
        <f>'Core Urban'!AB11+'Core Urban'!AB30+'Core Urban'!AB74+'Core Urban'!AB98</f>
        <v>1.4555874428437691E-2</v>
      </c>
      <c r="E13" s="129">
        <f t="dataTable" ref="E13:O18" dt2D="0" dtr="1" r1="D5"/>
        <v>0</v>
      </c>
      <c r="F13" s="129">
        <v>2.2882499999999995E-3</v>
      </c>
      <c r="G13" s="129">
        <v>4.576499999999999E-3</v>
      </c>
      <c r="H13" s="129">
        <v>6.8647499999999976E-3</v>
      </c>
      <c r="I13" s="129">
        <v>9.1529999999999979E-3</v>
      </c>
      <c r="J13" s="129">
        <v>1.1441249999999993E-2</v>
      </c>
      <c r="K13" s="129">
        <v>1.3729499999999995E-2</v>
      </c>
      <c r="L13" s="129">
        <v>1.601774999999999E-2</v>
      </c>
      <c r="M13" s="129">
        <v>1.8305999999999996E-2</v>
      </c>
      <c r="N13" s="129">
        <v>2.0594249999999991E-2</v>
      </c>
      <c r="O13" s="154">
        <v>2.2882499999999986E-2</v>
      </c>
    </row>
    <row r="14" spans="2:16" x14ac:dyDescent="0.25">
      <c r="B14" s="85" t="s">
        <v>167</v>
      </c>
      <c r="C14" s="40" t="s">
        <v>163</v>
      </c>
      <c r="D14" s="129">
        <f>'Core Urban'!AA11+'Core Urban'!AA30+'Core Urban'!AA74+'Core Urban'!AA98</f>
        <v>0.10832128135825647</v>
      </c>
      <c r="E14" s="129">
        <v>0.11600820000000001</v>
      </c>
      <c r="F14" s="129">
        <v>0.11479978125</v>
      </c>
      <c r="G14" s="129">
        <v>0.11359136250000001</v>
      </c>
      <c r="H14" s="129">
        <v>0.11238294374999999</v>
      </c>
      <c r="I14" s="129">
        <v>0.11117452500000001</v>
      </c>
      <c r="J14" s="129">
        <v>0.10996610625000003</v>
      </c>
      <c r="K14" s="129">
        <v>0.10875768750000001</v>
      </c>
      <c r="L14" s="129">
        <v>0.10754926875000001</v>
      </c>
      <c r="M14" s="129">
        <v>0.10634085000000001</v>
      </c>
      <c r="N14" s="129">
        <v>0.10513243124999999</v>
      </c>
      <c r="O14" s="154">
        <v>0.1039240125</v>
      </c>
    </row>
    <row r="15" spans="2:16" x14ac:dyDescent="0.25">
      <c r="B15" s="85" t="s">
        <v>167</v>
      </c>
      <c r="C15" s="40" t="s">
        <v>164</v>
      </c>
      <c r="D15" s="129">
        <f>'Core Urban'!AE11+'Core Urban'!AE30+'Core Urban'!AE74+'Core Urban'!AE98</f>
        <v>6.6066724099691915E-2</v>
      </c>
      <c r="E15" s="129">
        <v>6.2728199999999998E-2</v>
      </c>
      <c r="F15" s="129">
        <v>6.3253031250000008E-2</v>
      </c>
      <c r="G15" s="129">
        <v>6.3777862500000004E-2</v>
      </c>
      <c r="H15" s="129">
        <v>6.4302693750000001E-2</v>
      </c>
      <c r="I15" s="129">
        <v>6.4827525000000011E-2</v>
      </c>
      <c r="J15" s="129">
        <v>6.5352356250000007E-2</v>
      </c>
      <c r="K15" s="129">
        <v>6.5877187500000003E-2</v>
      </c>
      <c r="L15" s="129">
        <v>6.640201875E-2</v>
      </c>
      <c r="M15" s="129">
        <v>6.6926849999999996E-2</v>
      </c>
      <c r="N15" s="129">
        <v>6.7451681249999992E-2</v>
      </c>
      <c r="O15" s="154">
        <v>6.7976512500000003E-2</v>
      </c>
    </row>
    <row r="16" spans="2:16" x14ac:dyDescent="0.25">
      <c r="B16" s="85" t="s">
        <v>167</v>
      </c>
      <c r="C16" s="40" t="s">
        <v>165</v>
      </c>
      <c r="D16" s="129">
        <f>'Core Urban'!AD11+'Core Urban'!AD30+'Core Urban'!AD74+'Core Urban'!AD98</f>
        <v>6.868955786694159E-3</v>
      </c>
      <c r="E16" s="221">
        <v>0</v>
      </c>
      <c r="F16" s="221">
        <v>1.0798312499999997E-3</v>
      </c>
      <c r="G16" s="221">
        <v>2.1596624999999994E-3</v>
      </c>
      <c r="H16" s="221">
        <v>3.2394937499999983E-3</v>
      </c>
      <c r="I16" s="221">
        <v>4.3193249999999989E-3</v>
      </c>
      <c r="J16" s="221">
        <v>5.3991562499999968E-3</v>
      </c>
      <c r="K16" s="221">
        <v>6.4789874999999966E-3</v>
      </c>
      <c r="L16" s="221">
        <v>7.5588187499999954E-3</v>
      </c>
      <c r="M16" s="221">
        <v>8.6386499999999977E-3</v>
      </c>
      <c r="N16" s="221">
        <v>9.7184812499999957E-3</v>
      </c>
      <c r="O16" s="222">
        <v>1.0798312499999994E-2</v>
      </c>
    </row>
    <row r="17" spans="2:16" x14ac:dyDescent="0.25">
      <c r="B17" s="85" t="s">
        <v>167</v>
      </c>
      <c r="C17" s="40" t="s">
        <v>166</v>
      </c>
      <c r="D17" s="129">
        <f>'Core Urban'!AC11+'Core Urban'!AC30+'Core Urban'!AC74+'Core Urban'!AC98</f>
        <v>0.11600820000000001</v>
      </c>
      <c r="E17" s="221">
        <v>0.11600820000000001</v>
      </c>
      <c r="F17" s="221">
        <v>0.11600820000000001</v>
      </c>
      <c r="G17" s="221">
        <v>0.11600820000000001</v>
      </c>
      <c r="H17" s="221">
        <v>0.11600820000000001</v>
      </c>
      <c r="I17" s="221">
        <v>0.11600820000000001</v>
      </c>
      <c r="J17" s="221">
        <v>0.11600820000000001</v>
      </c>
      <c r="K17" s="221">
        <v>0.11600820000000001</v>
      </c>
      <c r="L17" s="221">
        <v>0.11600820000000001</v>
      </c>
      <c r="M17" s="221">
        <v>0.11600820000000001</v>
      </c>
      <c r="N17" s="221">
        <v>0.11600820000000001</v>
      </c>
      <c r="O17" s="222">
        <v>0.11600820000000001</v>
      </c>
    </row>
    <row r="18" spans="2:16" x14ac:dyDescent="0.25">
      <c r="B18" s="85"/>
      <c r="C18" s="40" t="s">
        <v>122</v>
      </c>
      <c r="D18" s="131">
        <f>'Core Urban'!AK52</f>
        <v>6.6261855987279628E-2</v>
      </c>
      <c r="E18" s="131">
        <v>0</v>
      </c>
      <c r="F18" s="131">
        <v>1.0416666666666663E-2</v>
      </c>
      <c r="G18" s="131">
        <v>2.0833333333333325E-2</v>
      </c>
      <c r="H18" s="131">
        <v>3.124999999999999E-2</v>
      </c>
      <c r="I18" s="131">
        <v>4.166666666666665E-2</v>
      </c>
      <c r="J18" s="131">
        <v>5.2083333333333315E-2</v>
      </c>
      <c r="K18" s="131">
        <v>6.2499999999999979E-2</v>
      </c>
      <c r="L18" s="131">
        <v>7.291666666666663E-2</v>
      </c>
      <c r="M18" s="131">
        <v>8.3333333333333301E-2</v>
      </c>
      <c r="N18" s="131">
        <v>9.3749999999999944E-2</v>
      </c>
      <c r="O18" s="155">
        <v>0.10416666666666663</v>
      </c>
    </row>
    <row r="19" spans="2:16" x14ac:dyDescent="0.25">
      <c r="B19" s="85"/>
      <c r="C19" s="40"/>
      <c r="D19" s="131"/>
      <c r="E19" s="131"/>
      <c r="F19" s="131"/>
      <c r="G19" s="131"/>
      <c r="H19" s="131"/>
      <c r="I19" s="131"/>
      <c r="J19" s="131"/>
      <c r="K19" s="131"/>
      <c r="L19" s="131"/>
      <c r="M19" s="131"/>
      <c r="N19" s="131"/>
      <c r="O19" s="155"/>
      <c r="P19" s="41"/>
    </row>
    <row r="20" spans="2:16" x14ac:dyDescent="0.25">
      <c r="B20" s="85" t="s">
        <v>36</v>
      </c>
      <c r="C20" s="40" t="s">
        <v>309</v>
      </c>
      <c r="D20" s="130">
        <f>D12*inputs!$L$29/6</f>
        <v>820.34651625690458</v>
      </c>
      <c r="E20" s="130">
        <f>E12*inputs!$L$29/6</f>
        <v>0</v>
      </c>
      <c r="F20" s="130">
        <f>F12*inputs!$L$29/6</f>
        <v>128.96222243834924</v>
      </c>
      <c r="G20" s="130">
        <f>G12*inputs!$L$29/6</f>
        <v>257.92444487669849</v>
      </c>
      <c r="H20" s="130">
        <f>H12*inputs!$L$29/6</f>
        <v>386.88666731504776</v>
      </c>
      <c r="I20" s="130">
        <f>I12*inputs!$L$29/6</f>
        <v>515.84888975339697</v>
      </c>
      <c r="J20" s="130">
        <f>J12*inputs!$L$29/6</f>
        <v>644.81111219174613</v>
      </c>
      <c r="K20" s="130">
        <f>K12*inputs!$L$29/6</f>
        <v>773.77333463009552</v>
      </c>
      <c r="L20" s="130">
        <f>L12*inputs!$L$29/6</f>
        <v>902.73555706844456</v>
      </c>
      <c r="M20" s="130">
        <f>M12*inputs!$L$29/6</f>
        <v>1031.6977795067939</v>
      </c>
      <c r="N20" s="130">
        <f>N12*inputs!$L$29/6</f>
        <v>1160.660001945143</v>
      </c>
      <c r="O20" s="153">
        <f>O12*inputs!$L$29/6</f>
        <v>1289.6222243834923</v>
      </c>
      <c r="P20" s="41"/>
    </row>
    <row r="21" spans="2:16" x14ac:dyDescent="0.25">
      <c r="B21" s="85" t="s">
        <v>74</v>
      </c>
      <c r="C21" s="40" t="s">
        <v>174</v>
      </c>
      <c r="D21" s="130">
        <f>D16*'Core Urban'!$AV$86*1000</f>
        <v>274.75823146776634</v>
      </c>
      <c r="E21" s="130">
        <f>E16*'Core Urban'!$AV$86*1000</f>
        <v>0</v>
      </c>
      <c r="F21" s="130">
        <f>F16*'Core Urban'!$AV$86*1000</f>
        <v>43.193249999999992</v>
      </c>
      <c r="G21" s="130">
        <f>G16*'Core Urban'!$AV$86*1000</f>
        <v>86.386499999999984</v>
      </c>
      <c r="H21" s="130">
        <f>H16*'Core Urban'!$AV$86*1000</f>
        <v>129.57974999999993</v>
      </c>
      <c r="I21" s="130">
        <f>I16*'Core Urban'!$AV$86*1000</f>
        <v>172.77299999999997</v>
      </c>
      <c r="J21" s="130">
        <f>J16*'Core Urban'!$AV$86*1000</f>
        <v>215.96624999999986</v>
      </c>
      <c r="K21" s="130">
        <f>K16*'Core Urban'!$AV$86*1000</f>
        <v>259.15949999999987</v>
      </c>
      <c r="L21" s="130">
        <f>L16*'Core Urban'!$AV$86*1000</f>
        <v>302.35274999999984</v>
      </c>
      <c r="M21" s="130">
        <f>M16*'Core Urban'!$AV$86*1000</f>
        <v>345.54599999999994</v>
      </c>
      <c r="N21" s="130">
        <f>N16*'Core Urban'!$AV$86*1000</f>
        <v>388.7392499999998</v>
      </c>
      <c r="O21" s="153">
        <f>O16*'Core Urban'!$AV$86*1000</f>
        <v>431.93249999999972</v>
      </c>
      <c r="P21" s="41"/>
    </row>
    <row r="22" spans="2:16" x14ac:dyDescent="0.25">
      <c r="B22" s="85" t="s">
        <v>74</v>
      </c>
      <c r="C22" s="40" t="s">
        <v>175</v>
      </c>
      <c r="D22" s="130">
        <f>'Core Urban'!$AV$125</f>
        <v>71048.395797851554</v>
      </c>
      <c r="E22" s="130">
        <f>'Core Urban'!$AV$125</f>
        <v>71048.395797851554</v>
      </c>
      <c r="F22" s="130">
        <f>'Core Urban'!$AV$125</f>
        <v>71048.395797851554</v>
      </c>
      <c r="G22" s="130">
        <f>'Core Urban'!$AV$125</f>
        <v>71048.395797851554</v>
      </c>
      <c r="H22" s="130">
        <f>'Core Urban'!$AV$125</f>
        <v>71048.395797851554</v>
      </c>
      <c r="I22" s="130">
        <f>'Core Urban'!$AV$125</f>
        <v>71048.395797851554</v>
      </c>
      <c r="J22" s="130">
        <f>'Core Urban'!$AV$125</f>
        <v>71048.395797851554</v>
      </c>
      <c r="K22" s="130">
        <f>'Core Urban'!$AV$125</f>
        <v>71048.395797851554</v>
      </c>
      <c r="L22" s="130">
        <f>'Core Urban'!$AV$125</f>
        <v>71048.395797851554</v>
      </c>
      <c r="M22" s="130">
        <f>'Core Urban'!$AV$125</f>
        <v>71048.395797851554</v>
      </c>
      <c r="N22" s="130">
        <f>'Core Urban'!$AV$125</f>
        <v>71048.395797851554</v>
      </c>
      <c r="O22" s="153">
        <f>'Core Urban'!$AV$125</f>
        <v>71048.395797851554</v>
      </c>
      <c r="P22" s="42"/>
    </row>
    <row r="23" spans="2:16" x14ac:dyDescent="0.25">
      <c r="B23" s="85" t="s">
        <v>74</v>
      </c>
      <c r="C23" s="40" t="s">
        <v>121</v>
      </c>
      <c r="D23" s="130">
        <f t="shared" ref="D23:N23" si="0">D21+D22</f>
        <v>71323.154029319325</v>
      </c>
      <c r="E23" s="130">
        <f t="shared" si="0"/>
        <v>71048.395797851554</v>
      </c>
      <c r="F23" s="130">
        <f t="shared" si="0"/>
        <v>71091.58904785155</v>
      </c>
      <c r="G23" s="130">
        <f t="shared" si="0"/>
        <v>71134.782297851547</v>
      </c>
      <c r="H23" s="130">
        <f t="shared" si="0"/>
        <v>71177.975547851558</v>
      </c>
      <c r="I23" s="130">
        <f t="shared" si="0"/>
        <v>71221.168797851555</v>
      </c>
      <c r="J23" s="130">
        <f t="shared" si="0"/>
        <v>71264.362047851551</v>
      </c>
      <c r="K23" s="130">
        <f t="shared" si="0"/>
        <v>71307.555297851548</v>
      </c>
      <c r="L23" s="130">
        <f t="shared" si="0"/>
        <v>71350.748547851559</v>
      </c>
      <c r="M23" s="130">
        <f t="shared" si="0"/>
        <v>71393.941797851556</v>
      </c>
      <c r="N23" s="130">
        <f t="shared" si="0"/>
        <v>71437.135047851552</v>
      </c>
      <c r="O23" s="153">
        <f>O21+O22</f>
        <v>71480.328297851549</v>
      </c>
    </row>
    <row r="24" spans="2:16" x14ac:dyDescent="0.25">
      <c r="B24" s="85"/>
      <c r="C24" s="40" t="s">
        <v>214</v>
      </c>
      <c r="D24" s="40"/>
      <c r="E24" s="130">
        <f>E15*'Core Urban'!$AV$86*1000</f>
        <v>2509.1280000000002</v>
      </c>
      <c r="F24" s="130">
        <f>F15*'Core Urban'!$AV$86*1000</f>
        <v>2530.1212500000006</v>
      </c>
      <c r="G24" s="130">
        <f>G15*'Core Urban'!$AV$86*1000</f>
        <v>2551.1145000000001</v>
      </c>
      <c r="H24" s="130">
        <f>H15*'Core Urban'!$AV$86*1000</f>
        <v>2572.1077499999997</v>
      </c>
      <c r="I24" s="130">
        <f>I15*'Core Urban'!$AV$86*1000</f>
        <v>2593.1010000000001</v>
      </c>
      <c r="J24" s="130">
        <f>J15*'Core Urban'!$AV$86*1000</f>
        <v>2614.0942500000006</v>
      </c>
      <c r="K24" s="130">
        <f>K15*'Core Urban'!$AV$86*1000</f>
        <v>2635.0875000000001</v>
      </c>
      <c r="L24" s="130">
        <f>L15*'Core Urban'!$AV$86*1000</f>
        <v>2656.0807500000001</v>
      </c>
      <c r="M24" s="130">
        <f>M15*'Core Urban'!$AV$86*1000</f>
        <v>2677.0739999999996</v>
      </c>
      <c r="N24" s="130">
        <f>N15*'Core Urban'!$AV$86*1000</f>
        <v>2698.0672499999996</v>
      </c>
      <c r="O24" s="153">
        <f>O15*'Core Urban'!$AV$86*1000</f>
        <v>2719.0605000000005</v>
      </c>
    </row>
    <row r="25" spans="2:16" x14ac:dyDescent="0.25">
      <c r="B25" s="85"/>
      <c r="C25" s="40" t="s">
        <v>215</v>
      </c>
      <c r="D25" s="130"/>
      <c r="E25" s="131">
        <f>E24/E23</f>
        <v>3.531575867158248E-2</v>
      </c>
      <c r="F25" s="131">
        <f t="shared" ref="F25:O25" si="1">F24/F23</f>
        <v>3.558960045606778E-2</v>
      </c>
      <c r="G25" s="131">
        <f t="shared" si="1"/>
        <v>3.586310968547169E-2</v>
      </c>
      <c r="H25" s="131">
        <f t="shared" si="1"/>
        <v>3.61362869652119E-2</v>
      </c>
      <c r="I25" s="131">
        <f t="shared" si="1"/>
        <v>3.6409132899237438E-2</v>
      </c>
      <c r="J25" s="131">
        <f t="shared" si="1"/>
        <v>3.6681648090033089E-2</v>
      </c>
      <c r="K25" s="131">
        <f t="shared" si="1"/>
        <v>3.6953833138623861E-2</v>
      </c>
      <c r="L25" s="131">
        <f t="shared" si="1"/>
        <v>3.7225688644579431E-2</v>
      </c>
      <c r="M25" s="131">
        <f t="shared" si="1"/>
        <v>3.7497215206018508E-2</v>
      </c>
      <c r="N25" s="131">
        <f t="shared" si="1"/>
        <v>3.7768413419613234E-2</v>
      </c>
      <c r="O25" s="155">
        <f t="shared" si="1"/>
        <v>3.8039283880593563E-2</v>
      </c>
    </row>
    <row r="26" spans="2:16" x14ac:dyDescent="0.25">
      <c r="B26" s="85"/>
      <c r="C26" s="40" t="s">
        <v>197</v>
      </c>
      <c r="D26" s="130">
        <f>'Core Urban'!AU131</f>
        <v>17113804.117838539</v>
      </c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156"/>
    </row>
    <row r="27" spans="2:16" x14ac:dyDescent="0.25">
      <c r="B27" s="85"/>
      <c r="C27" s="40"/>
      <c r="D27" s="40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156"/>
      <c r="P27" s="42"/>
    </row>
    <row r="28" spans="2:16" x14ac:dyDescent="0.25">
      <c r="B28" s="85" t="s">
        <v>176</v>
      </c>
      <c r="C28" s="40" t="s">
        <v>170</v>
      </c>
      <c r="D28" s="40"/>
      <c r="E28" s="56"/>
      <c r="F28" s="130">
        <f t="shared" ref="F28:O28" si="2">F22/F20</f>
        <v>550.92409586703923</v>
      </c>
      <c r="G28" s="130">
        <f t="shared" si="2"/>
        <v>275.46204793351961</v>
      </c>
      <c r="H28" s="130">
        <f t="shared" si="2"/>
        <v>183.64136528901307</v>
      </c>
      <c r="I28" s="130">
        <f t="shared" si="2"/>
        <v>137.73102396675981</v>
      </c>
      <c r="J28" s="130">
        <f t="shared" si="2"/>
        <v>110.18481917340786</v>
      </c>
      <c r="K28" s="130">
        <f t="shared" si="2"/>
        <v>91.820682644506533</v>
      </c>
      <c r="L28" s="130">
        <f t="shared" si="2"/>
        <v>78.703442266719904</v>
      </c>
      <c r="M28" s="130">
        <f t="shared" si="2"/>
        <v>68.865511983379903</v>
      </c>
      <c r="N28" s="130">
        <f t="shared" si="2"/>
        <v>61.213788429671034</v>
      </c>
      <c r="O28" s="153">
        <f t="shared" si="2"/>
        <v>55.09240958670393</v>
      </c>
      <c r="P28" s="91"/>
    </row>
    <row r="29" spans="2:16" x14ac:dyDescent="0.25">
      <c r="B29" s="85" t="s">
        <v>176</v>
      </c>
      <c r="C29" s="40" t="s">
        <v>171</v>
      </c>
      <c r="D29" s="40"/>
      <c r="E29" s="56"/>
      <c r="F29" s="129">
        <f t="shared" ref="F29:O29" si="3">F21/F20</f>
        <v>0.33492947921744021</v>
      </c>
      <c r="G29" s="129">
        <f t="shared" si="3"/>
        <v>0.33492947921744021</v>
      </c>
      <c r="H29" s="129">
        <f t="shared" si="3"/>
        <v>0.33492947921744004</v>
      </c>
      <c r="I29" s="129">
        <f t="shared" si="3"/>
        <v>0.33492947921744021</v>
      </c>
      <c r="J29" s="129">
        <f t="shared" si="3"/>
        <v>0.3349294792174401</v>
      </c>
      <c r="K29" s="129">
        <f t="shared" si="3"/>
        <v>0.33492947921744004</v>
      </c>
      <c r="L29" s="129">
        <f t="shared" si="3"/>
        <v>0.33492947921744015</v>
      </c>
      <c r="M29" s="129">
        <f t="shared" si="3"/>
        <v>0.33492947921744021</v>
      </c>
      <c r="N29" s="129">
        <f t="shared" si="3"/>
        <v>0.33492947921744015</v>
      </c>
      <c r="O29" s="154">
        <f t="shared" si="3"/>
        <v>0.3349294792174401</v>
      </c>
      <c r="P29" s="42"/>
    </row>
    <row r="30" spans="2:16" x14ac:dyDescent="0.25">
      <c r="B30" s="85" t="s">
        <v>176</v>
      </c>
      <c r="C30" s="40" t="s">
        <v>172</v>
      </c>
      <c r="D30" s="40"/>
      <c r="E30" s="56"/>
      <c r="F30" s="130">
        <f t="shared" ref="F30:O30" si="4">F23/F20</f>
        <v>551.25902534625664</v>
      </c>
      <c r="G30" s="130">
        <f t="shared" si="4"/>
        <v>275.79697741273702</v>
      </c>
      <c r="H30" s="130">
        <f t="shared" si="4"/>
        <v>183.9762947682305</v>
      </c>
      <c r="I30" s="130">
        <f t="shared" si="4"/>
        <v>138.06595344597724</v>
      </c>
      <c r="J30" s="130">
        <f t="shared" si="4"/>
        <v>110.5197486526253</v>
      </c>
      <c r="K30" s="130">
        <f t="shared" si="4"/>
        <v>92.155612123723955</v>
      </c>
      <c r="L30" s="130">
        <f t="shared" si="4"/>
        <v>79.03837174593734</v>
      </c>
      <c r="M30" s="130">
        <f t="shared" si="4"/>
        <v>69.20044146259734</v>
      </c>
      <c r="N30" s="130">
        <f t="shared" si="4"/>
        <v>61.54871790888847</v>
      </c>
      <c r="O30" s="153">
        <f t="shared" si="4"/>
        <v>55.427339065921366</v>
      </c>
      <c r="P30" s="90"/>
    </row>
    <row r="31" spans="2:16" x14ac:dyDescent="0.25">
      <c r="B31" s="85" t="s">
        <v>176</v>
      </c>
      <c r="C31" s="40" t="s">
        <v>173</v>
      </c>
      <c r="D31" s="40"/>
      <c r="E31" s="56"/>
      <c r="F31" s="129">
        <f t="shared" ref="F31:O31" si="5">(F23-E23)/(F20-E20)</f>
        <v>0.33492947921741406</v>
      </c>
      <c r="G31" s="129">
        <f t="shared" si="5"/>
        <v>0.33492947921741406</v>
      </c>
      <c r="H31" s="129">
        <f t="shared" si="5"/>
        <v>0.33492947921752686</v>
      </c>
      <c r="I31" s="129">
        <f t="shared" si="5"/>
        <v>0.33492947921741417</v>
      </c>
      <c r="J31" s="129">
        <f t="shared" si="5"/>
        <v>0.33492947921741428</v>
      </c>
      <c r="K31" s="129">
        <f t="shared" si="5"/>
        <v>0.33492947921741373</v>
      </c>
      <c r="L31" s="129">
        <f t="shared" si="5"/>
        <v>0.33492947921752741</v>
      </c>
      <c r="M31" s="129">
        <f t="shared" si="5"/>
        <v>0.33492947921741373</v>
      </c>
      <c r="N31" s="129">
        <f t="shared" si="5"/>
        <v>0.33492947921741462</v>
      </c>
      <c r="O31" s="154">
        <f t="shared" si="5"/>
        <v>0.33492947921741401</v>
      </c>
    </row>
    <row r="32" spans="2:16" x14ac:dyDescent="0.25">
      <c r="B32" s="85"/>
      <c r="C32" s="40"/>
      <c r="D32" s="40"/>
      <c r="E32" s="56"/>
      <c r="F32" s="55"/>
      <c r="G32" s="55"/>
      <c r="H32" s="55"/>
      <c r="I32" s="55"/>
      <c r="J32" s="55"/>
      <c r="K32" s="55"/>
      <c r="L32" s="55"/>
      <c r="M32" s="55"/>
      <c r="N32" s="55"/>
      <c r="O32" s="157"/>
    </row>
    <row r="33" spans="2:16" x14ac:dyDescent="0.25">
      <c r="B33" s="85"/>
      <c r="C33" s="40" t="s">
        <v>310</v>
      </c>
      <c r="D33" s="40"/>
      <c r="E33" s="56"/>
      <c r="F33" s="129">
        <f t="shared" ref="F33:O33" si="6">F20/(F16*1000)</f>
        <v>119.42812586536023</v>
      </c>
      <c r="G33" s="129">
        <f t="shared" si="6"/>
        <v>119.42812586536023</v>
      </c>
      <c r="H33" s="129">
        <f t="shared" si="6"/>
        <v>119.42812586536029</v>
      </c>
      <c r="I33" s="129">
        <f t="shared" si="6"/>
        <v>119.42812586536023</v>
      </c>
      <c r="J33" s="129">
        <f>J20/(J16*1000)</f>
        <v>119.42812586536026</v>
      </c>
      <c r="K33" s="129">
        <f t="shared" si="6"/>
        <v>119.42812586536029</v>
      </c>
      <c r="L33" s="129">
        <f t="shared" si="6"/>
        <v>119.42812586536027</v>
      </c>
      <c r="M33" s="129">
        <f t="shared" si="6"/>
        <v>119.42812586536023</v>
      </c>
      <c r="N33" s="129">
        <f t="shared" si="6"/>
        <v>119.42812586536023</v>
      </c>
      <c r="O33" s="154">
        <f t="shared" si="6"/>
        <v>119.42812586536026</v>
      </c>
    </row>
    <row r="34" spans="2:16" x14ac:dyDescent="0.25">
      <c r="B34" s="85"/>
      <c r="C34" s="40" t="s">
        <v>185</v>
      </c>
      <c r="D34" s="40"/>
      <c r="E34" s="56"/>
      <c r="F34" s="129">
        <f t="shared" ref="F34:O34" si="7">(F20-E20)/((F15-E15)*1000)</f>
        <v>245.72131030373427</v>
      </c>
      <c r="G34" s="129">
        <f t="shared" si="7"/>
        <v>245.72131030374078</v>
      </c>
      <c r="H34" s="129">
        <f t="shared" si="7"/>
        <v>245.72131030374084</v>
      </c>
      <c r="I34" s="129">
        <f t="shared" si="7"/>
        <v>245.72131030373421</v>
      </c>
      <c r="J34" s="129">
        <f t="shared" si="7"/>
        <v>245.72131030374061</v>
      </c>
      <c r="K34" s="129">
        <f t="shared" si="7"/>
        <v>245.72131030374103</v>
      </c>
      <c r="L34" s="129">
        <f t="shared" si="7"/>
        <v>245.72131030374041</v>
      </c>
      <c r="M34" s="129">
        <f t="shared" si="7"/>
        <v>245.72131030374103</v>
      </c>
      <c r="N34" s="129">
        <f t="shared" si="7"/>
        <v>245.72131030374041</v>
      </c>
      <c r="O34" s="154">
        <f t="shared" si="7"/>
        <v>245.72131030373433</v>
      </c>
    </row>
    <row r="35" spans="2:16" x14ac:dyDescent="0.25">
      <c r="B35" s="85"/>
      <c r="C35" s="40"/>
      <c r="D35" s="40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157"/>
      <c r="P35" s="41"/>
    </row>
    <row r="36" spans="2:16" x14ac:dyDescent="0.25">
      <c r="B36" s="85"/>
      <c r="C36" s="40" t="s">
        <v>177</v>
      </c>
      <c r="D36" s="40"/>
      <c r="E36" s="129">
        <f>E20*1024/inputs!$B$53</f>
        <v>0</v>
      </c>
      <c r="F36" s="129">
        <f>F20*1024/inputs!$B$53</f>
        <v>3.4672687966595861</v>
      </c>
      <c r="G36" s="129">
        <f>G20*1024/inputs!$B$53</f>
        <v>6.9345375933191722</v>
      </c>
      <c r="H36" s="129">
        <f>H20*1024/inputs!$B$53</f>
        <v>10.401806389978759</v>
      </c>
      <c r="I36" s="129">
        <f>I20*1024/inputs!$B$53</f>
        <v>13.869075186638344</v>
      </c>
      <c r="J36" s="129">
        <f>J20*1024/inputs!$B$53</f>
        <v>17.33634398329793</v>
      </c>
      <c r="K36" s="129">
        <f>K20*1024/inputs!$B$53</f>
        <v>20.803612779957518</v>
      </c>
      <c r="L36" s="129">
        <f>L20*1024/inputs!$B$53</f>
        <v>24.2708815766171</v>
      </c>
      <c r="M36" s="129">
        <f>M20*1024/inputs!$B$53</f>
        <v>27.738150373276689</v>
      </c>
      <c r="N36" s="129">
        <f>N20*1024/inputs!$B$53</f>
        <v>31.20541916993627</v>
      </c>
      <c r="O36" s="154">
        <f>O20*1024/inputs!$B$53</f>
        <v>34.672687966595859</v>
      </c>
      <c r="P36" s="41"/>
    </row>
    <row r="37" spans="2:16" x14ac:dyDescent="0.25">
      <c r="B37" s="85"/>
      <c r="C37" s="40" t="s">
        <v>178</v>
      </c>
      <c r="D37" s="40"/>
      <c r="E37" s="129">
        <f t="shared" ref="E37:N37" si="8">E30/1024</f>
        <v>0</v>
      </c>
      <c r="F37" s="129">
        <f t="shared" si="8"/>
        <v>0.53833889193970375</v>
      </c>
      <c r="G37" s="129">
        <f t="shared" si="8"/>
        <v>0.269332985754626</v>
      </c>
      <c r="H37" s="129">
        <f t="shared" si="8"/>
        <v>0.1796643503596001</v>
      </c>
      <c r="I37" s="129">
        <f t="shared" si="8"/>
        <v>0.13483003266208715</v>
      </c>
      <c r="J37" s="129">
        <f t="shared" si="8"/>
        <v>0.10792944204357939</v>
      </c>
      <c r="K37" s="129">
        <f t="shared" si="8"/>
        <v>8.9995714964574175E-2</v>
      </c>
      <c r="L37" s="129">
        <f t="shared" si="8"/>
        <v>7.7185909908141934E-2</v>
      </c>
      <c r="M37" s="129">
        <f t="shared" si="8"/>
        <v>6.7578556115817714E-2</v>
      </c>
      <c r="N37" s="129">
        <f t="shared" si="8"/>
        <v>6.0106169832898897E-2</v>
      </c>
      <c r="O37" s="154">
        <f>O30/1024</f>
        <v>5.4128260806563834E-2</v>
      </c>
      <c r="P37" s="41"/>
    </row>
    <row r="38" spans="2:16" ht="15.75" thickBot="1" x14ac:dyDescent="0.3">
      <c r="B38" s="88"/>
      <c r="C38" s="158" t="s">
        <v>179</v>
      </c>
      <c r="D38" s="158"/>
      <c r="E38" s="159">
        <f t="shared" ref="E38:O38" si="9">E36*E37</f>
        <v>0</v>
      </c>
      <c r="F38" s="159">
        <f t="shared" si="9"/>
        <v>1.8665656420508316</v>
      </c>
      <c r="G38" s="159">
        <f t="shared" si="9"/>
        <v>1.867699714836351</v>
      </c>
      <c r="H38" s="159">
        <f t="shared" si="9"/>
        <v>1.8688337876218708</v>
      </c>
      <c r="I38" s="159">
        <f t="shared" si="9"/>
        <v>1.8699678604073904</v>
      </c>
      <c r="J38" s="159">
        <f t="shared" si="9"/>
        <v>1.8711019331929102</v>
      </c>
      <c r="K38" s="159">
        <f t="shared" si="9"/>
        <v>1.8722360059784293</v>
      </c>
      <c r="L38" s="159">
        <f t="shared" si="9"/>
        <v>1.8733700787639493</v>
      </c>
      <c r="M38" s="159">
        <f t="shared" si="9"/>
        <v>1.8745041515494687</v>
      </c>
      <c r="N38" s="159">
        <f t="shared" si="9"/>
        <v>1.8756382243349883</v>
      </c>
      <c r="O38" s="160">
        <f t="shared" si="9"/>
        <v>1.8767722971205081</v>
      </c>
    </row>
  </sheetData>
  <dataConsolidate link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AV134"/>
  <sheetViews>
    <sheetView topLeftCell="A22" zoomScale="70" zoomScaleNormal="70" workbookViewId="0">
      <selection activeCell="N36" sqref="N36"/>
    </sheetView>
  </sheetViews>
  <sheetFormatPr defaultRowHeight="14.25" x14ac:dyDescent="0.2"/>
  <cols>
    <col min="1" max="1" width="30.5703125" style="15" bestFit="1" customWidth="1"/>
    <col min="2" max="2" width="13.5703125" style="15" customWidth="1"/>
    <col min="3" max="3" width="9.140625" style="15"/>
    <col min="4" max="4" width="10.7109375" style="15" bestFit="1" customWidth="1"/>
    <col min="5" max="5" width="17.85546875" style="15" customWidth="1"/>
    <col min="6" max="6" width="14.85546875" style="15" customWidth="1"/>
    <col min="7" max="7" width="5.28515625" style="15" bestFit="1" customWidth="1"/>
    <col min="8" max="8" width="5.7109375" style="15" bestFit="1" customWidth="1"/>
    <col min="9" max="9" width="6.28515625" style="37" customWidth="1"/>
    <col min="10" max="10" width="27" style="15" customWidth="1"/>
    <col min="11" max="11" width="26.140625" style="15" customWidth="1"/>
    <col min="12" max="14" width="13.7109375" style="15" bestFit="1" customWidth="1"/>
    <col min="15" max="16" width="15.42578125" style="15" bestFit="1" customWidth="1"/>
    <col min="17" max="17" width="14.28515625" style="15" bestFit="1" customWidth="1"/>
    <col min="18" max="18" width="14.140625" style="15" bestFit="1" customWidth="1"/>
    <col min="19" max="19" width="22" style="15" bestFit="1" customWidth="1"/>
    <col min="20" max="20" width="13.140625" style="15" customWidth="1"/>
    <col min="21" max="21" width="10.28515625" style="15" bestFit="1" customWidth="1"/>
    <col min="22" max="30" width="9.140625" style="15"/>
    <col min="31" max="31" width="10" style="15" bestFit="1" customWidth="1"/>
    <col min="32" max="36" width="9.140625" style="15"/>
    <col min="37" max="37" width="11" style="15" customWidth="1"/>
    <col min="38" max="16384" width="9.140625" style="15"/>
  </cols>
  <sheetData>
    <row r="2" spans="1:48" ht="15" x14ac:dyDescent="0.25">
      <c r="A2" s="2" t="s">
        <v>9</v>
      </c>
      <c r="B2" s="97">
        <v>1.7270000000000001</v>
      </c>
      <c r="D2" s="2" t="s">
        <v>11</v>
      </c>
      <c r="F2" s="7" t="s">
        <v>0</v>
      </c>
      <c r="G2" s="7"/>
      <c r="J2" s="15" t="s">
        <v>0</v>
      </c>
    </row>
    <row r="3" spans="1:48" x14ac:dyDescent="0.2">
      <c r="A3" s="15" t="s">
        <v>10</v>
      </c>
      <c r="B3" s="97">
        <v>0.39</v>
      </c>
      <c r="E3" s="15" t="s">
        <v>3</v>
      </c>
      <c r="F3" s="98">
        <v>0.15</v>
      </c>
      <c r="G3" s="98"/>
      <c r="J3" s="2" t="s">
        <v>168</v>
      </c>
      <c r="L3" s="43" t="s">
        <v>210</v>
      </c>
    </row>
    <row r="4" spans="1:48" x14ac:dyDescent="0.2">
      <c r="A4" s="15" t="s">
        <v>2</v>
      </c>
      <c r="B4" s="97">
        <v>0.85099999999999998</v>
      </c>
      <c r="E4" s="15" t="s">
        <v>4</v>
      </c>
      <c r="F4" s="98">
        <v>0.15</v>
      </c>
      <c r="G4" s="98"/>
      <c r="K4" s="15" t="s">
        <v>3</v>
      </c>
      <c r="L4" s="43">
        <f>L7*inputs!L26</f>
        <v>175995.45870757976</v>
      </c>
    </row>
    <row r="5" spans="1:48" x14ac:dyDescent="0.2">
      <c r="E5" s="15" t="s">
        <v>5</v>
      </c>
      <c r="F5" s="98">
        <v>0.15</v>
      </c>
      <c r="G5" s="98"/>
      <c r="K5" s="15" t="s">
        <v>4</v>
      </c>
      <c r="L5" s="43">
        <f>L7*inputs!L27</f>
        <v>58746.070354805932</v>
      </c>
    </row>
    <row r="6" spans="1:48" ht="15" x14ac:dyDescent="0.25">
      <c r="A6" s="2" t="s">
        <v>1</v>
      </c>
      <c r="D6" s="7"/>
      <c r="E6" s="7" t="s">
        <v>238</v>
      </c>
      <c r="F6" s="98">
        <v>0.12</v>
      </c>
      <c r="G6" s="98"/>
      <c r="K6" s="15" t="s">
        <v>5</v>
      </c>
      <c r="L6" s="43">
        <f>L7*inputs!L28</f>
        <v>8010.8277756553553</v>
      </c>
    </row>
    <row r="7" spans="1:48" x14ac:dyDescent="0.2">
      <c r="A7" s="15" t="s">
        <v>3</v>
      </c>
      <c r="B7" s="15">
        <v>608</v>
      </c>
      <c r="D7" s="2" t="s">
        <v>14</v>
      </c>
      <c r="K7" s="15" t="s">
        <v>6</v>
      </c>
      <c r="L7" s="43">
        <f>Dashboard!E5</f>
        <v>242752.35683804104</v>
      </c>
    </row>
    <row r="8" spans="1:48" x14ac:dyDescent="0.2">
      <c r="A8" s="15" t="s">
        <v>4</v>
      </c>
      <c r="B8" s="15">
        <v>12764</v>
      </c>
      <c r="E8" s="15" t="s">
        <v>3</v>
      </c>
      <c r="F8" s="22">
        <v>0.3</v>
      </c>
      <c r="G8" s="22"/>
      <c r="K8" s="15" t="s">
        <v>238</v>
      </c>
    </row>
    <row r="9" spans="1:48" x14ac:dyDescent="0.2">
      <c r="A9" s="15" t="s">
        <v>5</v>
      </c>
      <c r="B9" s="15">
        <v>290528</v>
      </c>
      <c r="E9" s="15" t="s">
        <v>4</v>
      </c>
      <c r="F9" s="22">
        <v>0.3</v>
      </c>
      <c r="G9" s="22"/>
      <c r="J9" s="2" t="s">
        <v>24</v>
      </c>
    </row>
    <row r="10" spans="1:48" x14ac:dyDescent="0.2">
      <c r="A10" s="15" t="s">
        <v>237</v>
      </c>
      <c r="B10" s="43">
        <f>B7+B8+B9</f>
        <v>303900</v>
      </c>
      <c r="E10" s="15" t="s">
        <v>5</v>
      </c>
      <c r="F10" s="22">
        <v>0.3</v>
      </c>
      <c r="G10" s="22"/>
      <c r="K10" s="15" t="s">
        <v>3</v>
      </c>
      <c r="L10" s="15">
        <f>L4*1024*1024/B49/6</f>
        <v>30525.204598901099</v>
      </c>
    </row>
    <row r="11" spans="1:48" ht="15" x14ac:dyDescent="0.25">
      <c r="A11" s="15" t="s">
        <v>238</v>
      </c>
      <c r="B11" s="43">
        <v>9</v>
      </c>
      <c r="D11" s="7"/>
      <c r="E11" s="7" t="s">
        <v>238</v>
      </c>
      <c r="F11" s="22">
        <f>15/50</f>
        <v>0.3</v>
      </c>
      <c r="G11" s="22">
        <f>F11*0.5</f>
        <v>0.15</v>
      </c>
      <c r="H11" s="22"/>
      <c r="K11" s="15" t="s">
        <v>4</v>
      </c>
      <c r="L11" s="15">
        <f>L5*1024*1024/B50/6</f>
        <v>7580.2496063263598</v>
      </c>
    </row>
    <row r="12" spans="1:48" x14ac:dyDescent="0.2">
      <c r="D12" s="2" t="s">
        <v>21</v>
      </c>
      <c r="K12" s="15" t="s">
        <v>5</v>
      </c>
      <c r="L12" s="15">
        <f>L6*1024*1024/B51/6</f>
        <v>1787.5670283803818</v>
      </c>
    </row>
    <row r="13" spans="1:48" x14ac:dyDescent="0.2">
      <c r="A13" s="2" t="s">
        <v>7</v>
      </c>
      <c r="C13" s="43"/>
      <c r="E13" s="15" t="s">
        <v>3</v>
      </c>
      <c r="F13" s="22">
        <v>0.1</v>
      </c>
      <c r="G13" s="22"/>
      <c r="K13" s="15" t="s">
        <v>238</v>
      </c>
      <c r="AH13" s="43"/>
      <c r="AV13" s="15" t="e">
        <f>(K5*inputs!$L$35/inputs!$L$36)*inputs!L34+(K6*inputs!M35/inputs!$L$36)*inputs!L34</f>
        <v>#VALUE!</v>
      </c>
    </row>
    <row r="14" spans="1:48" x14ac:dyDescent="0.2">
      <c r="A14" s="15" t="s">
        <v>3</v>
      </c>
      <c r="B14" s="43">
        <v>1757944</v>
      </c>
      <c r="E14" s="15" t="s">
        <v>4</v>
      </c>
      <c r="F14" s="22">
        <v>0.1</v>
      </c>
      <c r="G14" s="22"/>
      <c r="J14" s="2" t="s">
        <v>13</v>
      </c>
      <c r="AH14" s="43"/>
    </row>
    <row r="15" spans="1:48" x14ac:dyDescent="0.2">
      <c r="A15" s="15" t="s">
        <v>4</v>
      </c>
      <c r="B15" s="43">
        <v>2362966</v>
      </c>
      <c r="E15" s="15" t="s">
        <v>5</v>
      </c>
      <c r="F15" s="22">
        <v>0.1</v>
      </c>
      <c r="G15" s="22"/>
      <c r="K15" s="15" t="s">
        <v>3</v>
      </c>
      <c r="L15" s="99">
        <f>(L4*1024*1024/B49/6)/(1+F13)</f>
        <v>27750.185999000998</v>
      </c>
      <c r="AH15" s="43"/>
    </row>
    <row r="16" spans="1:48" ht="15" x14ac:dyDescent="0.25">
      <c r="A16" s="15" t="s">
        <v>5</v>
      </c>
      <c r="B16" s="43">
        <v>1366398</v>
      </c>
      <c r="D16" s="7"/>
      <c r="E16" s="7" t="s">
        <v>238</v>
      </c>
      <c r="F16" s="22">
        <v>0.1</v>
      </c>
      <c r="G16" s="22"/>
      <c r="K16" s="15" t="s">
        <v>4</v>
      </c>
      <c r="L16" s="99">
        <f>(L5*1024*1024/B50/6)/(1+F14)</f>
        <v>6891.1360057512356</v>
      </c>
      <c r="AE16" s="43"/>
    </row>
    <row r="17" spans="1:37" ht="15" x14ac:dyDescent="0.25">
      <c r="A17" s="15" t="s">
        <v>237</v>
      </c>
      <c r="B17" s="43">
        <f>B14+B15+B16</f>
        <v>5487308</v>
      </c>
      <c r="D17" s="2" t="s">
        <v>15</v>
      </c>
      <c r="H17" s="7"/>
      <c r="I17" s="44"/>
      <c r="K17" s="15" t="s">
        <v>5</v>
      </c>
      <c r="L17" s="99">
        <f>(L6*1024*1024/B51/6)/(1+F15)</f>
        <v>1625.060934891256</v>
      </c>
      <c r="AE17" s="43"/>
      <c r="AK17" s="22"/>
    </row>
    <row r="18" spans="1:37" x14ac:dyDescent="0.2">
      <c r="A18" s="15" t="s">
        <v>238</v>
      </c>
      <c r="B18" s="43">
        <v>66449</v>
      </c>
      <c r="E18" s="15" t="s">
        <v>3</v>
      </c>
      <c r="F18" s="15">
        <v>9</v>
      </c>
      <c r="H18" s="98"/>
      <c r="I18" s="101"/>
      <c r="K18" s="15" t="s">
        <v>238</v>
      </c>
      <c r="AH18" s="43"/>
    </row>
    <row r="19" spans="1:37" x14ac:dyDescent="0.2">
      <c r="E19" s="15" t="s">
        <v>4</v>
      </c>
      <c r="F19" s="15">
        <v>9</v>
      </c>
      <c r="H19" s="98"/>
      <c r="I19" s="101"/>
      <c r="J19" s="2" t="s">
        <v>16</v>
      </c>
    </row>
    <row r="20" spans="1:37" x14ac:dyDescent="0.2">
      <c r="A20" s="15" t="s">
        <v>212</v>
      </c>
      <c r="E20" s="15" t="s">
        <v>5</v>
      </c>
      <c r="F20" s="15">
        <v>9</v>
      </c>
      <c r="H20" s="98"/>
      <c r="I20" s="101"/>
      <c r="K20" s="15" t="s">
        <v>3</v>
      </c>
      <c r="L20" s="99">
        <f>L15-L15/(1+F18)</f>
        <v>24975.167399100897</v>
      </c>
      <c r="Y20" s="43"/>
      <c r="AD20" s="43"/>
      <c r="AJ20" s="43"/>
    </row>
    <row r="21" spans="1:37" ht="15" x14ac:dyDescent="0.25">
      <c r="A21" s="15" t="s">
        <v>3</v>
      </c>
      <c r="B21" s="15">
        <f>B14/B7</f>
        <v>2891.3552631578946</v>
      </c>
      <c r="E21" s="15" t="s">
        <v>238</v>
      </c>
      <c r="F21" s="15">
        <v>9</v>
      </c>
      <c r="H21" s="7"/>
      <c r="I21" s="44"/>
      <c r="K21" s="15" t="s">
        <v>4</v>
      </c>
      <c r="L21" s="99">
        <f>L16-L16/(1+F19)</f>
        <v>6202.0224051761124</v>
      </c>
      <c r="Y21" s="43"/>
      <c r="AD21" s="43"/>
      <c r="AJ21" s="43"/>
    </row>
    <row r="22" spans="1:37" ht="15" x14ac:dyDescent="0.25">
      <c r="A22" s="15" t="s">
        <v>4</v>
      </c>
      <c r="B22" s="15">
        <f>B15/B8</f>
        <v>185.12738953306174</v>
      </c>
      <c r="H22" s="7"/>
      <c r="I22" s="44"/>
      <c r="K22" s="15" t="s">
        <v>5</v>
      </c>
      <c r="L22" s="99">
        <f>L17-L17/(1+F20)</f>
        <v>1462.5548414021305</v>
      </c>
      <c r="Y22" s="43"/>
      <c r="AD22" s="43"/>
      <c r="AJ22" s="43"/>
    </row>
    <row r="23" spans="1:37" x14ac:dyDescent="0.2">
      <c r="A23" s="15" t="s">
        <v>5</v>
      </c>
      <c r="B23" s="15">
        <f>B16/B9</f>
        <v>4.7031542570767702</v>
      </c>
      <c r="H23" s="147"/>
      <c r="K23" s="15" t="s">
        <v>238</v>
      </c>
      <c r="Y23" s="43"/>
      <c r="AD23" s="43"/>
      <c r="AJ23" s="43"/>
    </row>
    <row r="24" spans="1:37" x14ac:dyDescent="0.2">
      <c r="A24" s="15" t="s">
        <v>237</v>
      </c>
      <c r="B24" s="43">
        <f>B17/B10</f>
        <v>18.056294833826918</v>
      </c>
      <c r="H24" s="147"/>
      <c r="AH24" s="43"/>
    </row>
    <row r="25" spans="1:37" ht="15" x14ac:dyDescent="0.25">
      <c r="A25" s="15" t="s">
        <v>238</v>
      </c>
      <c r="B25" s="43">
        <f>B18/B11</f>
        <v>7383.2222222222226</v>
      </c>
      <c r="H25" s="147"/>
      <c r="J25" s="128" t="s">
        <v>20</v>
      </c>
      <c r="K25" s="77"/>
      <c r="L25" s="125"/>
      <c r="Y25" s="43"/>
    </row>
    <row r="26" spans="1:37" ht="15" x14ac:dyDescent="0.25">
      <c r="H26" s="148"/>
      <c r="I26" s="44"/>
      <c r="J26" s="75"/>
      <c r="K26" s="100" t="s">
        <v>3</v>
      </c>
      <c r="L26" s="149">
        <v>0.72499999999999998</v>
      </c>
      <c r="Y26" s="43"/>
      <c r="AD26" s="43"/>
      <c r="AJ26" s="43"/>
    </row>
    <row r="27" spans="1:37" ht="15" x14ac:dyDescent="0.25">
      <c r="A27" s="15" t="s">
        <v>26</v>
      </c>
      <c r="H27" s="148"/>
      <c r="I27" s="44"/>
      <c r="J27" s="75"/>
      <c r="K27" s="100" t="s">
        <v>4</v>
      </c>
      <c r="L27" s="150">
        <v>0.24199999999999999</v>
      </c>
      <c r="Y27" s="43"/>
      <c r="AD27" s="43"/>
      <c r="AJ27" s="43"/>
    </row>
    <row r="28" spans="1:37" ht="15" x14ac:dyDescent="0.25">
      <c r="A28" s="15" t="s">
        <v>3</v>
      </c>
      <c r="B28" s="72">
        <f>B7/$B$10</f>
        <v>2.0006581112207962E-3</v>
      </c>
      <c r="E28" s="22"/>
      <c r="I28" s="101"/>
      <c r="J28" s="75"/>
      <c r="K28" s="100" t="s">
        <v>5</v>
      </c>
      <c r="L28" s="150">
        <v>3.3000000000000002E-2</v>
      </c>
      <c r="Y28" s="43"/>
      <c r="AD28" s="43"/>
      <c r="AJ28" s="43"/>
    </row>
    <row r="29" spans="1:37" ht="15" x14ac:dyDescent="0.25">
      <c r="A29" s="15" t="s">
        <v>4</v>
      </c>
      <c r="B29" s="72">
        <f>B8/$B$10</f>
        <v>4.20006581112208E-2</v>
      </c>
      <c r="E29" s="22"/>
      <c r="H29" s="147"/>
      <c r="I29" s="101"/>
      <c r="J29" s="104"/>
      <c r="K29" s="100" t="s">
        <v>238</v>
      </c>
      <c r="L29" s="216">
        <v>3.1875008123869203E-2</v>
      </c>
      <c r="Y29" s="43"/>
      <c r="AD29" s="43"/>
      <c r="AJ29" s="43"/>
    </row>
    <row r="30" spans="1:37" ht="15" x14ac:dyDescent="0.25">
      <c r="A30" s="15" t="s">
        <v>5</v>
      </c>
      <c r="B30" s="72">
        <f>B9/$B$10</f>
        <v>0.95599868377755837</v>
      </c>
      <c r="C30" s="65"/>
      <c r="D30" s="65"/>
      <c r="E30" s="65"/>
      <c r="F30" s="65"/>
      <c r="G30" s="65"/>
      <c r="H30" s="65"/>
      <c r="I30" s="44"/>
      <c r="J30" s="107"/>
      <c r="K30" s="108"/>
      <c r="L30" s="109"/>
      <c r="Y30" s="99"/>
      <c r="AD30" s="99"/>
      <c r="AJ30" s="99"/>
    </row>
    <row r="31" spans="1:37" ht="15" x14ac:dyDescent="0.25">
      <c r="A31" s="15" t="s">
        <v>237</v>
      </c>
      <c r="B31" s="72">
        <f>B10/$B$10</f>
        <v>1</v>
      </c>
      <c r="C31" s="65"/>
      <c r="D31" s="65"/>
      <c r="E31" s="65"/>
      <c r="F31" s="65"/>
      <c r="G31" s="65"/>
      <c r="H31" s="65"/>
      <c r="I31" s="44"/>
    </row>
    <row r="32" spans="1:37" ht="15" x14ac:dyDescent="0.25">
      <c r="A32" s="15" t="s">
        <v>238</v>
      </c>
      <c r="B32" s="72">
        <f>B11/$B$10</f>
        <v>2.9615004935834155E-5</v>
      </c>
      <c r="I32" s="44"/>
      <c r="J32" s="93" t="s">
        <v>104</v>
      </c>
      <c r="K32" s="102"/>
      <c r="L32" s="103"/>
    </row>
    <row r="33" spans="1:37" x14ac:dyDescent="0.2">
      <c r="J33" s="104"/>
      <c r="K33" s="100"/>
      <c r="L33" s="105">
        <v>900</v>
      </c>
      <c r="M33" s="15" t="s">
        <v>375</v>
      </c>
      <c r="N33" s="15">
        <v>1800</v>
      </c>
      <c r="Y33" s="22"/>
      <c r="AD33" s="22"/>
      <c r="AJ33" s="22"/>
    </row>
    <row r="34" spans="1:37" x14ac:dyDescent="0.2">
      <c r="A34" s="15" t="s">
        <v>213</v>
      </c>
      <c r="B34" s="72"/>
      <c r="J34" s="104" t="s">
        <v>98</v>
      </c>
      <c r="K34" s="100" t="s">
        <v>374</v>
      </c>
      <c r="L34" s="105">
        <v>0.25</v>
      </c>
      <c r="M34" s="15">
        <v>0.25</v>
      </c>
      <c r="N34" s="15">
        <v>0.25</v>
      </c>
      <c r="Y34" s="22"/>
      <c r="AD34" s="22"/>
      <c r="AJ34" s="22"/>
    </row>
    <row r="35" spans="1:37" ht="15" x14ac:dyDescent="0.25">
      <c r="A35" s="15" t="s">
        <v>3</v>
      </c>
      <c r="B35" s="72">
        <f>B14/$B$17</f>
        <v>0.32036546882369277</v>
      </c>
      <c r="J35" s="75"/>
      <c r="K35" s="100" t="s">
        <v>109</v>
      </c>
      <c r="L35" s="105">
        <v>14.25</v>
      </c>
      <c r="M35" s="15">
        <v>7.8</v>
      </c>
      <c r="N35" s="15">
        <f>3*1.18/0.2</f>
        <v>17.7</v>
      </c>
      <c r="Y35" s="22"/>
      <c r="AD35" s="22"/>
      <c r="AJ35" s="22"/>
    </row>
    <row r="36" spans="1:37" x14ac:dyDescent="0.2">
      <c r="A36" s="15" t="s">
        <v>4</v>
      </c>
      <c r="B36" s="72">
        <f>B15/$B$17</f>
        <v>0.43062390520087446</v>
      </c>
      <c r="J36" s="104"/>
      <c r="K36" s="100" t="s">
        <v>105</v>
      </c>
      <c r="L36" s="105">
        <v>2048</v>
      </c>
      <c r="O36" s="43"/>
    </row>
    <row r="37" spans="1:37" x14ac:dyDescent="0.2">
      <c r="A37" s="15" t="s">
        <v>5</v>
      </c>
      <c r="B37" s="72">
        <f>B16/$B$17</f>
        <v>0.24901062597543278</v>
      </c>
      <c r="J37" s="104" t="s">
        <v>106</v>
      </c>
      <c r="K37" s="100"/>
      <c r="L37" s="105"/>
      <c r="O37" s="43"/>
    </row>
    <row r="38" spans="1:37" x14ac:dyDescent="0.2">
      <c r="A38" s="15" t="s">
        <v>237</v>
      </c>
      <c r="B38" s="72">
        <f>B17/$B$17</f>
        <v>1</v>
      </c>
      <c r="J38" s="104"/>
      <c r="K38" s="100" t="s">
        <v>107</v>
      </c>
      <c r="L38" s="105">
        <v>32</v>
      </c>
      <c r="O38" s="127"/>
      <c r="P38" s="127"/>
      <c r="Q38" s="127"/>
    </row>
    <row r="39" spans="1:37" x14ac:dyDescent="0.2">
      <c r="A39" s="15" t="s">
        <v>238</v>
      </c>
      <c r="B39" s="72">
        <f>B18/$B$17</f>
        <v>1.2109580872806848E-2</v>
      </c>
      <c r="J39" s="104" t="s">
        <v>101</v>
      </c>
      <c r="K39" s="100" t="s">
        <v>374</v>
      </c>
      <c r="L39" s="105">
        <v>0.5</v>
      </c>
      <c r="N39" s="72"/>
    </row>
    <row r="40" spans="1:37" ht="15" x14ac:dyDescent="0.25">
      <c r="I40" s="46"/>
      <c r="J40" s="107"/>
      <c r="K40" s="108" t="s">
        <v>108</v>
      </c>
      <c r="L40" s="109">
        <v>512</v>
      </c>
    </row>
    <row r="41" spans="1:37" x14ac:dyDescent="0.2">
      <c r="A41" s="2" t="s">
        <v>12</v>
      </c>
      <c r="I41" s="1"/>
    </row>
    <row r="42" spans="1:37" ht="15" x14ac:dyDescent="0.25">
      <c r="A42" s="15" t="s">
        <v>3</v>
      </c>
      <c r="B42" s="43">
        <f>B14*$B$2*$B$3</f>
        <v>1184028.0223200002</v>
      </c>
      <c r="I42" s="44"/>
    </row>
    <row r="43" spans="1:37" ht="15" x14ac:dyDescent="0.25">
      <c r="A43" s="15" t="s">
        <v>4</v>
      </c>
      <c r="B43" s="43">
        <f>B15*$B$2*$B$3</f>
        <v>1591528.4899800001</v>
      </c>
      <c r="H43" s="65"/>
      <c r="J43" s="124" t="s">
        <v>183</v>
      </c>
      <c r="K43" s="95">
        <v>0</v>
      </c>
      <c r="M43" s="124" t="s">
        <v>311</v>
      </c>
      <c r="N43" s="95"/>
    </row>
    <row r="44" spans="1:37" x14ac:dyDescent="0.2">
      <c r="A44" s="15" t="s">
        <v>5</v>
      </c>
      <c r="B44" s="43">
        <f>B16*$B$2*$B$3</f>
        <v>920310.04494000005</v>
      </c>
      <c r="J44" s="112" t="s">
        <v>17</v>
      </c>
      <c r="K44" s="96">
        <v>0.25</v>
      </c>
      <c r="M44" s="110" t="s">
        <v>318</v>
      </c>
      <c r="N44" s="111">
        <v>0.1</v>
      </c>
    </row>
    <row r="45" spans="1:37" x14ac:dyDescent="0.2">
      <c r="A45" s="15" t="s">
        <v>237</v>
      </c>
      <c r="B45" s="43">
        <f>B42+B43+B44</f>
        <v>3695866.5572400005</v>
      </c>
      <c r="I45" s="101"/>
      <c r="J45" s="112" t="s">
        <v>203</v>
      </c>
      <c r="K45" s="113">
        <v>0.25</v>
      </c>
      <c r="M45" s="110" t="s">
        <v>317</v>
      </c>
      <c r="N45" s="114">
        <v>0.2</v>
      </c>
      <c r="AH45" s="43"/>
    </row>
    <row r="46" spans="1:37" ht="15" x14ac:dyDescent="0.25">
      <c r="A46" s="15" t="s">
        <v>238</v>
      </c>
      <c r="B46" s="43">
        <f>B18*$B$2*$B$3</f>
        <v>44755.394970000008</v>
      </c>
      <c r="I46" s="46"/>
      <c r="J46" s="110" t="s">
        <v>159</v>
      </c>
      <c r="K46" s="111">
        <v>0.1</v>
      </c>
      <c r="L46" s="35"/>
      <c r="M46" s="115" t="s">
        <v>78</v>
      </c>
      <c r="N46" s="116">
        <v>100000</v>
      </c>
      <c r="AE46" s="43"/>
    </row>
    <row r="47" spans="1:37" x14ac:dyDescent="0.2">
      <c r="I47" s="101"/>
      <c r="J47" s="112" t="s">
        <v>77</v>
      </c>
      <c r="K47" s="113">
        <v>0.1</v>
      </c>
      <c r="L47" s="35"/>
      <c r="AE47" s="43"/>
      <c r="AK47" s="22"/>
    </row>
    <row r="48" spans="1:37" x14ac:dyDescent="0.2">
      <c r="A48" s="2" t="s">
        <v>8</v>
      </c>
      <c r="I48" s="101"/>
      <c r="J48" s="112" t="s">
        <v>160</v>
      </c>
      <c r="K48" s="113">
        <v>0.09</v>
      </c>
      <c r="L48" s="35"/>
      <c r="Y48" s="99"/>
      <c r="AD48" s="99"/>
      <c r="AH48" s="43"/>
      <c r="AJ48" s="99"/>
    </row>
    <row r="49" spans="1:36" ht="15" x14ac:dyDescent="0.25">
      <c r="A49" s="15" t="s">
        <v>3</v>
      </c>
      <c r="B49" s="43">
        <f>$B$4*B42</f>
        <v>1007607.8469943202</v>
      </c>
      <c r="I49" s="46"/>
      <c r="J49" s="110" t="s">
        <v>187</v>
      </c>
      <c r="K49" s="114">
        <v>172</v>
      </c>
      <c r="L49" s="35"/>
      <c r="Y49" s="99"/>
      <c r="AD49" s="99"/>
      <c r="AJ49" s="99"/>
    </row>
    <row r="50" spans="1:36" ht="15" x14ac:dyDescent="0.25">
      <c r="A50" s="15" t="s">
        <v>4</v>
      </c>
      <c r="B50" s="43">
        <f>$B$4*B43</f>
        <v>1354390.7449729801</v>
      </c>
      <c r="I50" s="46"/>
      <c r="J50" s="115" t="s">
        <v>78</v>
      </c>
      <c r="K50" s="116">
        <v>15</v>
      </c>
      <c r="L50" s="35"/>
      <c r="Y50" s="99"/>
      <c r="AD50" s="99"/>
      <c r="AJ50" s="99"/>
    </row>
    <row r="51" spans="1:36" ht="15" x14ac:dyDescent="0.25">
      <c r="A51" s="15" t="s">
        <v>5</v>
      </c>
      <c r="B51" s="43">
        <f>$B$4*B44</f>
        <v>783183.84824394004</v>
      </c>
      <c r="H51" s="19"/>
      <c r="J51" s="35"/>
      <c r="K51" s="35"/>
      <c r="L51" s="35"/>
      <c r="AD51" s="43"/>
      <c r="AJ51" s="43"/>
    </row>
    <row r="52" spans="1:36" ht="15" x14ac:dyDescent="0.25">
      <c r="A52" s="15" t="s">
        <v>237</v>
      </c>
      <c r="B52" s="43">
        <f>SUM(B49:B51)</f>
        <v>3145182.4402112407</v>
      </c>
      <c r="H52" s="43"/>
      <c r="I52" s="46"/>
      <c r="J52" s="94" t="s">
        <v>211</v>
      </c>
      <c r="K52" s="117" t="s">
        <v>130</v>
      </c>
      <c r="L52" s="118" t="s">
        <v>131</v>
      </c>
      <c r="O52" s="198"/>
      <c r="P52" s="102"/>
      <c r="Q52" s="102"/>
      <c r="R52" s="102"/>
      <c r="S52" s="102"/>
      <c r="T52" s="102"/>
      <c r="U52" s="103"/>
    </row>
    <row r="53" spans="1:36" ht="15" x14ac:dyDescent="0.25">
      <c r="A53" s="15" t="s">
        <v>238</v>
      </c>
      <c r="B53" s="43">
        <f>$B$4*B46</f>
        <v>38086.841119470009</v>
      </c>
      <c r="H53" s="7"/>
      <c r="I53" s="46"/>
      <c r="J53" s="119" t="s">
        <v>80</v>
      </c>
      <c r="K53" s="120">
        <v>2145</v>
      </c>
      <c r="L53" s="121">
        <v>0.6</v>
      </c>
      <c r="O53" s="104">
        <v>2012</v>
      </c>
      <c r="P53" s="100">
        <f>96465*B3</f>
        <v>37621.35</v>
      </c>
      <c r="Q53" s="100" t="s">
        <v>229</v>
      </c>
      <c r="R53" s="100"/>
      <c r="S53" s="100" t="s">
        <v>233</v>
      </c>
      <c r="T53" s="100">
        <v>0.4</v>
      </c>
      <c r="U53" s="105" t="s">
        <v>234</v>
      </c>
      <c r="Y53" s="22"/>
      <c r="AD53" s="22"/>
      <c r="AJ53" s="22"/>
    </row>
    <row r="54" spans="1:36" ht="15" x14ac:dyDescent="0.25">
      <c r="J54" s="119" t="s">
        <v>128</v>
      </c>
      <c r="K54" s="120">
        <v>1450</v>
      </c>
      <c r="L54" s="121">
        <v>0.55000000000000004</v>
      </c>
      <c r="O54" s="104"/>
      <c r="P54" s="100">
        <f>P53*1024</f>
        <v>38524262.399999999</v>
      </c>
      <c r="Q54" s="100" t="s">
        <v>230</v>
      </c>
      <c r="R54" s="100"/>
      <c r="S54" s="100" t="s">
        <v>232</v>
      </c>
      <c r="T54" s="100">
        <v>0.43</v>
      </c>
      <c r="U54" s="105"/>
      <c r="Y54" s="22"/>
      <c r="AD54" s="22"/>
      <c r="AJ54" s="22"/>
    </row>
    <row r="55" spans="1:36" ht="15" x14ac:dyDescent="0.25">
      <c r="J55" s="119" t="s">
        <v>290</v>
      </c>
      <c r="K55" s="120">
        <v>1500</v>
      </c>
      <c r="L55" s="121">
        <v>0.55000000000000004</v>
      </c>
      <c r="O55" s="104"/>
      <c r="P55" s="100">
        <f>P54/12</f>
        <v>3210355.1999999997</v>
      </c>
      <c r="Q55" s="100" t="s">
        <v>231</v>
      </c>
      <c r="R55" s="100"/>
      <c r="S55" s="100" t="s">
        <v>227</v>
      </c>
      <c r="T55" s="100">
        <f>T53/T54</f>
        <v>0.93023255813953498</v>
      </c>
      <c r="U55" s="105"/>
      <c r="Y55" s="22"/>
      <c r="AD55" s="22"/>
      <c r="AJ55" s="22"/>
    </row>
    <row r="56" spans="1:36" ht="15" x14ac:dyDescent="0.25">
      <c r="H56" s="22"/>
      <c r="J56" s="119" t="s">
        <v>291</v>
      </c>
      <c r="K56" s="140">
        <v>1550</v>
      </c>
      <c r="L56" s="121">
        <v>0.55000000000000004</v>
      </c>
      <c r="O56" s="104"/>
      <c r="P56" s="100"/>
      <c r="Q56" s="100"/>
      <c r="R56" s="100"/>
      <c r="S56" s="100"/>
      <c r="T56" s="100"/>
      <c r="U56" s="105"/>
    </row>
    <row r="57" spans="1:36" ht="15" x14ac:dyDescent="0.25">
      <c r="H57" s="19"/>
      <c r="J57" s="119" t="s">
        <v>292</v>
      </c>
      <c r="K57" s="120">
        <v>1600</v>
      </c>
      <c r="L57" s="121">
        <v>0.55000000000000004</v>
      </c>
      <c r="O57" s="104"/>
      <c r="P57" s="100"/>
      <c r="Q57" s="100"/>
      <c r="R57" s="100"/>
      <c r="S57" s="39"/>
      <c r="T57" s="100"/>
      <c r="U57" s="105"/>
    </row>
    <row r="58" spans="1:36" ht="15" x14ac:dyDescent="0.25">
      <c r="H58" s="22"/>
      <c r="J58" s="119" t="s">
        <v>129</v>
      </c>
      <c r="K58" s="120">
        <v>1000</v>
      </c>
      <c r="L58" s="121">
        <v>0.5</v>
      </c>
      <c r="O58" s="104"/>
      <c r="P58" s="100">
        <f>Dash_Current_Volume*2</f>
        <v>308836.25682000001</v>
      </c>
      <c r="Q58" s="100" t="s">
        <v>229</v>
      </c>
      <c r="R58" s="100"/>
      <c r="S58" s="39"/>
      <c r="T58" s="100"/>
      <c r="U58" s="105"/>
      <c r="Y58" s="22"/>
      <c r="AD58" s="22"/>
      <c r="AJ58" s="22"/>
    </row>
    <row r="59" spans="1:36" ht="15" x14ac:dyDescent="0.25">
      <c r="H59" s="22"/>
      <c r="J59" s="119" t="s">
        <v>293</v>
      </c>
      <c r="K59" s="120">
        <v>1500</v>
      </c>
      <c r="L59" s="121">
        <v>0.5</v>
      </c>
      <c r="O59" s="104"/>
      <c r="P59" s="100">
        <f>P61/1024</f>
        <v>25736.354735000001</v>
      </c>
      <c r="Q59" s="100" t="s">
        <v>306</v>
      </c>
      <c r="R59" s="39"/>
      <c r="S59" s="100"/>
      <c r="T59" s="100"/>
      <c r="U59" s="105"/>
      <c r="Y59" s="22"/>
      <c r="AD59" s="22"/>
      <c r="AJ59" s="22"/>
    </row>
    <row r="60" spans="1:36" ht="15" x14ac:dyDescent="0.25">
      <c r="H60" s="19"/>
      <c r="J60" s="104" t="s">
        <v>294</v>
      </c>
      <c r="K60" s="140">
        <v>1500</v>
      </c>
      <c r="L60" s="121">
        <v>0.5</v>
      </c>
      <c r="O60" s="104"/>
      <c r="P60" s="100">
        <f>P58*1024</f>
        <v>316248326.98368001</v>
      </c>
      <c r="Q60" s="100" t="s">
        <v>230</v>
      </c>
      <c r="R60" s="39"/>
      <c r="S60" s="100"/>
      <c r="T60" s="100"/>
      <c r="U60" s="105"/>
      <c r="Y60" s="22"/>
      <c r="AD60" s="22"/>
      <c r="AJ60" s="22"/>
    </row>
    <row r="61" spans="1:36" ht="15" x14ac:dyDescent="0.25">
      <c r="H61" s="19"/>
      <c r="J61" s="104" t="s">
        <v>295</v>
      </c>
      <c r="K61" s="140">
        <v>2000</v>
      </c>
      <c r="L61" s="121">
        <v>0.5</v>
      </c>
      <c r="O61" s="104"/>
      <c r="P61" s="100">
        <f>P60/12</f>
        <v>26354027.248640001</v>
      </c>
      <c r="Q61" s="100" t="s">
        <v>231</v>
      </c>
      <c r="R61" s="100"/>
      <c r="S61" s="100"/>
      <c r="T61" s="100"/>
      <c r="U61" s="105"/>
      <c r="Y61" s="22"/>
      <c r="AD61" s="22"/>
      <c r="AJ61" s="22"/>
    </row>
    <row r="62" spans="1:36" ht="15" x14ac:dyDescent="0.25">
      <c r="J62" s="104" t="s">
        <v>296</v>
      </c>
      <c r="K62" s="140">
        <v>2000</v>
      </c>
      <c r="L62" s="121">
        <v>0.5</v>
      </c>
      <c r="O62" s="104"/>
      <c r="P62" s="100"/>
      <c r="Q62" s="100"/>
      <c r="R62" s="100"/>
      <c r="S62" s="100"/>
      <c r="T62" s="100"/>
      <c r="U62" s="105"/>
      <c r="AD62" s="99"/>
      <c r="AJ62" s="99"/>
    </row>
    <row r="63" spans="1:36" ht="15" x14ac:dyDescent="0.25">
      <c r="H63" s="19"/>
      <c r="J63" s="104" t="s">
        <v>297</v>
      </c>
      <c r="K63" s="140">
        <v>2000</v>
      </c>
      <c r="L63" s="121">
        <v>0.5</v>
      </c>
      <c r="O63" s="104"/>
      <c r="P63" s="100"/>
      <c r="Q63" s="100"/>
      <c r="R63" s="100"/>
      <c r="S63" s="100"/>
      <c r="T63" s="100"/>
      <c r="U63" s="105"/>
    </row>
    <row r="64" spans="1:36" ht="15" x14ac:dyDescent="0.25">
      <c r="H64" s="19"/>
      <c r="J64" s="104" t="s">
        <v>298</v>
      </c>
      <c r="K64" s="140">
        <v>2000</v>
      </c>
      <c r="L64" s="121">
        <v>0.5</v>
      </c>
      <c r="O64" s="104"/>
      <c r="P64" s="100"/>
      <c r="Q64" s="100"/>
      <c r="R64" s="100"/>
      <c r="S64" s="100"/>
      <c r="T64" s="100"/>
      <c r="U64" s="105"/>
      <c r="Y64" s="99"/>
      <c r="AE64" s="99"/>
    </row>
    <row r="65" spans="9:31" ht="15" x14ac:dyDescent="0.25">
      <c r="J65" s="104" t="s">
        <v>299</v>
      </c>
      <c r="K65" s="140">
        <v>2000</v>
      </c>
      <c r="L65" s="121">
        <v>0.5</v>
      </c>
      <c r="O65" s="104"/>
      <c r="P65" s="100">
        <f>P54*T55/1000/1000</f>
        <v>35.836523162790698</v>
      </c>
      <c r="Q65" s="100">
        <f>P60*T55/1000/1000</f>
        <v>294.18449021737678</v>
      </c>
      <c r="R65" s="100" t="s">
        <v>228</v>
      </c>
      <c r="S65" s="100"/>
      <c r="T65" s="100"/>
      <c r="U65" s="105"/>
      <c r="Y65" s="99"/>
      <c r="AE65" s="99"/>
    </row>
    <row r="66" spans="9:31" ht="15" x14ac:dyDescent="0.25">
      <c r="J66" s="107" t="s">
        <v>300</v>
      </c>
      <c r="K66" s="174">
        <v>3000</v>
      </c>
      <c r="L66" s="122">
        <v>0.5</v>
      </c>
      <c r="O66" s="104"/>
      <c r="P66" s="92">
        <f>P65/12</f>
        <v>2.986376930232558</v>
      </c>
      <c r="Q66" s="92">
        <f>Q65/12</f>
        <v>24.515374184781397</v>
      </c>
      <c r="R66" s="100" t="s">
        <v>167</v>
      </c>
      <c r="S66" s="100"/>
      <c r="T66" s="100"/>
      <c r="U66" s="105"/>
    </row>
    <row r="67" spans="9:31" x14ac:dyDescent="0.2">
      <c r="O67" s="107"/>
      <c r="P67" s="108"/>
      <c r="Q67" s="108"/>
      <c r="R67" s="108"/>
      <c r="S67" s="108"/>
      <c r="T67" s="108"/>
      <c r="U67" s="109"/>
    </row>
    <row r="68" spans="9:31" x14ac:dyDescent="0.2">
      <c r="J68" s="198"/>
      <c r="K68" s="199"/>
      <c r="L68" s="199"/>
      <c r="M68" s="103" t="s">
        <v>238</v>
      </c>
      <c r="Y68" s="22"/>
      <c r="AE68" s="22"/>
    </row>
    <row r="69" spans="9:31" ht="15" x14ac:dyDescent="0.25">
      <c r="J69" s="200" t="s">
        <v>157</v>
      </c>
      <c r="K69" s="63"/>
      <c r="L69" s="63"/>
      <c r="M69" s="201">
        <v>0.4</v>
      </c>
      <c r="AE69" s="22"/>
    </row>
    <row r="70" spans="9:31" ht="15" x14ac:dyDescent="0.25">
      <c r="J70" s="200" t="s">
        <v>103</v>
      </c>
      <c r="K70" s="63"/>
      <c r="L70" s="63"/>
      <c r="M70" s="202">
        <f>'Core Urban'!K11+'Core Urban'!K26+'Core Urban'!K30+'Core Urban'!K78+'Core Urban'!K98</f>
        <v>183</v>
      </c>
      <c r="N70" s="22"/>
      <c r="AE70" s="22"/>
    </row>
    <row r="71" spans="9:31" ht="15" x14ac:dyDescent="0.25">
      <c r="J71" s="200" t="s">
        <v>97</v>
      </c>
      <c r="K71" s="63"/>
      <c r="L71" s="63"/>
      <c r="M71" s="143">
        <f>MAX(ROUNDUP(M70*M69,0),'Core Urban'!K52)</f>
        <v>124</v>
      </c>
      <c r="N71" s="99"/>
    </row>
    <row r="72" spans="9:31" ht="15" x14ac:dyDescent="0.25">
      <c r="J72" s="200"/>
      <c r="K72" s="63"/>
      <c r="L72" s="63"/>
      <c r="M72" s="105"/>
      <c r="N72" s="22"/>
    </row>
    <row r="73" spans="9:31" ht="15" x14ac:dyDescent="0.25">
      <c r="J73" s="200" t="s">
        <v>81</v>
      </c>
      <c r="K73" s="63"/>
      <c r="L73" s="63"/>
      <c r="M73" s="105"/>
      <c r="AE73" s="22"/>
    </row>
    <row r="74" spans="9:31" ht="15" x14ac:dyDescent="0.25">
      <c r="I74" s="37">
        <v>0</v>
      </c>
      <c r="J74" s="75" t="s">
        <v>363</v>
      </c>
      <c r="K74" s="63" t="s">
        <v>82</v>
      </c>
      <c r="L74" s="63"/>
      <c r="M74" s="203">
        <v>0.1</v>
      </c>
      <c r="AE74" s="22"/>
    </row>
    <row r="75" spans="9:31" ht="15" x14ac:dyDescent="0.25">
      <c r="I75" s="37">
        <v>8.7999999999999995E-2</v>
      </c>
      <c r="J75" s="75" t="s">
        <v>364</v>
      </c>
      <c r="K75" s="63" t="s">
        <v>83</v>
      </c>
      <c r="L75" s="63"/>
      <c r="M75" s="203">
        <f>1-M74</f>
        <v>0.9</v>
      </c>
      <c r="N75" s="123"/>
      <c r="AE75" s="22"/>
    </row>
    <row r="76" spans="9:31" ht="15" x14ac:dyDescent="0.25">
      <c r="I76" s="37">
        <v>0.08</v>
      </c>
      <c r="J76" s="75" t="s">
        <v>365</v>
      </c>
      <c r="K76" s="63" t="s">
        <v>84</v>
      </c>
      <c r="L76" s="63"/>
      <c r="M76" s="203">
        <v>0</v>
      </c>
    </row>
    <row r="77" spans="9:31" ht="15" x14ac:dyDescent="0.25">
      <c r="I77" s="37">
        <v>0.64800000000000002</v>
      </c>
      <c r="J77" s="75" t="s">
        <v>366</v>
      </c>
      <c r="K77" s="63" t="s">
        <v>85</v>
      </c>
      <c r="L77" s="63"/>
      <c r="M77" s="203">
        <v>0.1</v>
      </c>
    </row>
    <row r="78" spans="9:31" ht="15" x14ac:dyDescent="0.25">
      <c r="I78" s="37">
        <v>2.4E-2</v>
      </c>
      <c r="J78" s="75" t="s">
        <v>367</v>
      </c>
      <c r="K78" s="63" t="s">
        <v>86</v>
      </c>
      <c r="L78" s="63"/>
      <c r="M78" s="203">
        <f>1-M76</f>
        <v>1</v>
      </c>
    </row>
    <row r="79" spans="9:31" ht="15" x14ac:dyDescent="0.25">
      <c r="I79" s="37">
        <v>0.16</v>
      </c>
      <c r="J79" s="75" t="s">
        <v>368</v>
      </c>
      <c r="K79" s="63" t="s">
        <v>87</v>
      </c>
      <c r="L79" s="63"/>
      <c r="M79" s="203">
        <f>1-M77</f>
        <v>0.9</v>
      </c>
    </row>
    <row r="80" spans="9:31" ht="15" x14ac:dyDescent="0.25">
      <c r="J80" s="200" t="s">
        <v>88</v>
      </c>
      <c r="K80" s="63"/>
      <c r="L80" s="63"/>
      <c r="M80" s="203"/>
    </row>
    <row r="81" spans="10:13" ht="15" x14ac:dyDescent="0.25">
      <c r="J81" s="75"/>
      <c r="K81" s="63" t="s">
        <v>89</v>
      </c>
      <c r="L81" s="63"/>
      <c r="M81" s="203">
        <f>20%</f>
        <v>0.2</v>
      </c>
    </row>
    <row r="82" spans="10:13" ht="15" x14ac:dyDescent="0.25">
      <c r="J82" s="79"/>
      <c r="K82" s="80" t="s">
        <v>90</v>
      </c>
      <c r="L82" s="80"/>
      <c r="M82" s="204">
        <f>20%</f>
        <v>0.2</v>
      </c>
    </row>
    <row r="98" spans="5:9" x14ac:dyDescent="0.2">
      <c r="H98" s="43"/>
      <c r="I98" s="1"/>
    </row>
    <row r="100" spans="5:9" x14ac:dyDescent="0.2">
      <c r="E100" s="43"/>
      <c r="F100" s="43"/>
      <c r="G100" s="43"/>
    </row>
    <row r="130" spans="9:9" x14ac:dyDescent="0.2">
      <c r="I130" s="26"/>
    </row>
    <row r="131" spans="9:9" x14ac:dyDescent="0.2">
      <c r="I131" s="39"/>
    </row>
    <row r="132" spans="9:9" x14ac:dyDescent="0.2">
      <c r="I132" s="39"/>
    </row>
    <row r="133" spans="9:9" x14ac:dyDescent="0.2">
      <c r="I133" s="73"/>
    </row>
    <row r="134" spans="9:9" x14ac:dyDescent="0.2">
      <c r="I134" s="39"/>
    </row>
  </sheetData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BL222"/>
  <sheetViews>
    <sheetView tabSelected="1" zoomScale="55" zoomScaleNormal="55" workbookViewId="0">
      <selection activeCell="H15" sqref="H15"/>
    </sheetView>
  </sheetViews>
  <sheetFormatPr defaultRowHeight="15" x14ac:dyDescent="0.25"/>
  <cols>
    <col min="1" max="1" width="6.42578125" style="7" customWidth="1"/>
    <col min="2" max="2" width="31.140625" style="7" customWidth="1"/>
    <col min="3" max="3" width="40" style="7" customWidth="1"/>
    <col min="4" max="4" width="12.28515625" style="7" customWidth="1"/>
    <col min="5" max="5" width="15.28515625" style="7" customWidth="1"/>
    <col min="6" max="6" width="10.5703125" style="7" bestFit="1" customWidth="1"/>
    <col min="7" max="7" width="32.28515625" style="7" bestFit="1" customWidth="1"/>
    <col min="8" max="8" width="19.140625" style="7" customWidth="1"/>
    <col min="9" max="10" width="17.42578125" style="7" customWidth="1"/>
    <col min="11" max="11" width="14.28515625" style="7" bestFit="1" customWidth="1"/>
    <col min="12" max="12" width="23.5703125" style="7" bestFit="1" customWidth="1"/>
    <col min="13" max="13" width="28.85546875" style="7" bestFit="1" customWidth="1"/>
    <col min="14" max="14" width="16.7109375" style="7" bestFit="1" customWidth="1"/>
    <col min="15" max="15" width="16.7109375" style="7" customWidth="1"/>
    <col min="16" max="16" width="13.5703125" style="7" customWidth="1"/>
    <col min="17" max="17" width="15.85546875" style="7" customWidth="1"/>
    <col min="18" max="18" width="13.5703125" style="7" customWidth="1"/>
    <col min="19" max="19" width="16" style="7" bestFit="1" customWidth="1"/>
    <col min="20" max="23" width="13.5703125" style="7" customWidth="1"/>
    <col min="24" max="24" width="2.85546875" style="186" customWidth="1"/>
    <col min="25" max="25" width="11.28515625" style="7" bestFit="1" customWidth="1"/>
    <col min="26" max="26" width="18.28515625" style="7" bestFit="1" customWidth="1"/>
    <col min="27" max="27" width="10" style="7" bestFit="1" customWidth="1"/>
    <col min="28" max="28" width="10.85546875" style="7" customWidth="1"/>
    <col min="29" max="32" width="9.140625" style="7"/>
    <col min="33" max="33" width="2.85546875" style="186" customWidth="1"/>
    <col min="34" max="34" width="35.5703125" style="7" customWidth="1"/>
    <col min="35" max="35" width="17.42578125" style="7" customWidth="1"/>
    <col min="36" max="36" width="15.42578125" style="7" bestFit="1" customWidth="1"/>
    <col min="37" max="37" width="14.5703125" style="7" customWidth="1"/>
    <col min="38" max="38" width="12.7109375" style="7" customWidth="1"/>
    <col min="39" max="39" width="10" style="7" bestFit="1" customWidth="1"/>
    <col min="40" max="40" width="9.140625" style="7"/>
    <col min="41" max="41" width="2.85546875" style="186" customWidth="1"/>
    <col min="42" max="42" width="8.85546875" style="7" customWidth="1"/>
    <col min="43" max="43" width="9.140625" style="7"/>
    <col min="44" max="44" width="10.85546875" style="7" customWidth="1"/>
    <col min="45" max="45" width="65.85546875" style="7" bestFit="1" customWidth="1"/>
    <col min="46" max="46" width="19.42578125" style="7" bestFit="1" customWidth="1"/>
    <col min="47" max="47" width="19.42578125" style="7" customWidth="1"/>
    <col min="48" max="48" width="13.85546875" style="7" customWidth="1"/>
    <col min="49" max="49" width="15.28515625" style="7" customWidth="1"/>
    <col min="50" max="50" width="16" style="7" customWidth="1"/>
    <col min="51" max="51" width="14.7109375" style="7" bestFit="1" customWidth="1"/>
    <col min="52" max="52" width="14.42578125" style="7" bestFit="1" customWidth="1"/>
    <col min="53" max="53" width="15.5703125" style="7" customWidth="1"/>
    <col min="54" max="54" width="14.42578125" style="7" customWidth="1"/>
    <col min="55" max="55" width="15.85546875" style="7" customWidth="1"/>
    <col min="56" max="56" width="20.140625" style="7" bestFit="1" customWidth="1"/>
    <col min="57" max="57" width="25.140625" style="7" bestFit="1" customWidth="1"/>
    <col min="58" max="58" width="17.28515625" style="7" customWidth="1"/>
    <col min="59" max="59" width="11.5703125" style="7" bestFit="1" customWidth="1"/>
    <col min="60" max="61" width="9.140625" style="7"/>
    <col min="62" max="62" width="13" style="7" customWidth="1"/>
    <col min="63" max="63" width="9.140625" style="7"/>
    <col min="64" max="64" width="24.5703125" style="7" bestFit="1" customWidth="1"/>
    <col min="65" max="16384" width="9.140625" style="7"/>
  </cols>
  <sheetData>
    <row r="1" spans="1:64" x14ac:dyDescent="0.25">
      <c r="I1" s="30" t="s">
        <v>336</v>
      </c>
      <c r="J1" s="30"/>
      <c r="K1" s="30" t="s">
        <v>307</v>
      </c>
      <c r="L1" s="30"/>
      <c r="M1" s="30" t="s">
        <v>308</v>
      </c>
      <c r="AA1" s="7">
        <f>AA2*1000</f>
        <v>108.32128135825647</v>
      </c>
      <c r="AB1" s="7">
        <f>AB2*1000</f>
        <v>14.555874428437692</v>
      </c>
      <c r="AC1" s="7">
        <f>AC2*1000</f>
        <v>116.0082</v>
      </c>
      <c r="AD1" s="7">
        <f>AD2*1000</f>
        <v>6.8689557866941593</v>
      </c>
      <c r="AE1" s="7">
        <f>AE2*1000</f>
        <v>66.066724099691911</v>
      </c>
      <c r="AU1" s="30"/>
    </row>
    <row r="2" spans="1:64" x14ac:dyDescent="0.25">
      <c r="I2" s="21">
        <f>I11+I26+I30+I52</f>
        <v>537.85742329504137</v>
      </c>
      <c r="J2" s="21"/>
      <c r="K2" s="28">
        <f>K11+K26+K30+K52</f>
        <v>183</v>
      </c>
      <c r="L2" s="30"/>
      <c r="M2" s="206">
        <f>M11+M26+M30+M51</f>
        <v>37369767.5390625</v>
      </c>
      <c r="N2" s="206"/>
      <c r="O2" s="206">
        <f>M2/1024</f>
        <v>36493.913612365723</v>
      </c>
      <c r="P2" s="206"/>
      <c r="Q2" s="206"/>
      <c r="R2" s="206"/>
      <c r="S2" s="206"/>
      <c r="T2" s="206"/>
      <c r="U2" s="206"/>
      <c r="V2" s="206"/>
      <c r="W2" s="206"/>
      <c r="AA2" s="36">
        <f>AA98+AA30+AA11+AA74</f>
        <v>0.10832128135825647</v>
      </c>
      <c r="AB2" s="36">
        <f>AB98+AB30+AB11+AB74</f>
        <v>1.4555874428437691E-2</v>
      </c>
      <c r="AC2" s="36">
        <f>AC98+AC30+AC11+AC74</f>
        <v>0.11600820000000001</v>
      </c>
      <c r="AD2" s="36">
        <f>AD98+AD30+AD11+AD74</f>
        <v>6.868955786694159E-3</v>
      </c>
      <c r="AE2" s="36">
        <f>AE98+AE30+AE11+AE74</f>
        <v>6.6066724099691915E-2</v>
      </c>
      <c r="AH2" s="7" t="s">
        <v>356</v>
      </c>
      <c r="AI2" s="10">
        <f>(O11+O26+O30+O51)*1024</f>
        <v>37298890.760416664</v>
      </c>
      <c r="AJ2" s="7" t="s">
        <v>202</v>
      </c>
      <c r="AK2" s="6"/>
      <c r="AL2" s="7" t="s">
        <v>339</v>
      </c>
      <c r="AM2" s="11"/>
      <c r="AU2" s="38"/>
      <c r="BC2" s="15">
        <f>1/BD5</f>
        <v>6.6666666666666666E-2</v>
      </c>
    </row>
    <row r="3" spans="1:64" x14ac:dyDescent="0.25">
      <c r="D3" s="63"/>
      <c r="E3" s="63"/>
      <c r="F3" s="68"/>
      <c r="G3" s="179"/>
      <c r="H3" s="63"/>
      <c r="I3" s="63"/>
      <c r="J3" s="63"/>
      <c r="K3" s="179"/>
      <c r="L3" s="64"/>
      <c r="M3" s="13"/>
      <c r="N3" s="63"/>
      <c r="O3" s="63"/>
      <c r="P3" s="63"/>
      <c r="Q3" s="63"/>
      <c r="R3" s="63"/>
      <c r="S3" s="63"/>
      <c r="T3" s="63"/>
      <c r="U3" s="63"/>
      <c r="V3" s="63"/>
      <c r="W3" s="63" t="s">
        <v>361</v>
      </c>
      <c r="Y3" s="14"/>
      <c r="AH3" s="7" t="s">
        <v>356</v>
      </c>
      <c r="AI3" s="10">
        <f>AI2/1024</f>
        <v>36424.698008219399</v>
      </c>
      <c r="AJ3" s="7" t="s">
        <v>355</v>
      </c>
      <c r="AK3" s="10"/>
      <c r="AQ3" s="7" t="s">
        <v>57</v>
      </c>
      <c r="AZ3" s="7" t="s">
        <v>147</v>
      </c>
      <c r="BC3" s="15" t="s">
        <v>145</v>
      </c>
      <c r="BD3" s="15" t="s">
        <v>146</v>
      </c>
      <c r="BF3" s="7" t="s">
        <v>148</v>
      </c>
      <c r="BJ3" s="7" t="s">
        <v>149</v>
      </c>
    </row>
    <row r="4" spans="1:64" x14ac:dyDescent="0.25">
      <c r="B4" s="179" t="s">
        <v>25</v>
      </c>
      <c r="D4" s="63"/>
      <c r="E4" s="63"/>
      <c r="F4" s="16"/>
      <c r="G4" s="179" t="s">
        <v>41</v>
      </c>
      <c r="H4" s="179" t="s">
        <v>26</v>
      </c>
      <c r="I4" s="184" t="s">
        <v>326</v>
      </c>
      <c r="J4" s="184" t="s">
        <v>360</v>
      </c>
      <c r="K4" s="179" t="s">
        <v>44</v>
      </c>
      <c r="L4" s="13" t="s">
        <v>324</v>
      </c>
      <c r="M4" s="179" t="s">
        <v>325</v>
      </c>
      <c r="N4" s="179"/>
      <c r="O4" s="184"/>
      <c r="P4" s="218" t="s">
        <v>345</v>
      </c>
      <c r="Q4" s="184" t="s">
        <v>346</v>
      </c>
      <c r="R4" s="184" t="s">
        <v>347</v>
      </c>
      <c r="S4" s="184"/>
      <c r="T4" s="184"/>
      <c r="U4" s="184"/>
      <c r="V4" s="184"/>
      <c r="W4" s="184"/>
      <c r="X4" s="187"/>
      <c r="Y4" s="14" t="s">
        <v>131</v>
      </c>
      <c r="Z4" s="179" t="s">
        <v>133</v>
      </c>
      <c r="AA4" s="179" t="s">
        <v>134</v>
      </c>
      <c r="AB4" s="179" t="s">
        <v>135</v>
      </c>
      <c r="AC4" s="179" t="s">
        <v>136</v>
      </c>
      <c r="AD4" s="179" t="s">
        <v>132</v>
      </c>
      <c r="AE4" s="179" t="s">
        <v>6</v>
      </c>
      <c r="AH4" s="7" t="s">
        <v>356</v>
      </c>
      <c r="AI4" s="10">
        <f>(AI2)*60*60*24*30/8/1024/1024/1024</f>
        <v>11254.884867346846</v>
      </c>
      <c r="AJ4" s="7" t="s">
        <v>36</v>
      </c>
      <c r="AK4" s="10"/>
      <c r="AV4" s="6" t="s">
        <v>144</v>
      </c>
      <c r="AW4" s="6"/>
      <c r="AX4" s="6"/>
      <c r="AY4" s="6"/>
      <c r="AZ4" s="7" t="s">
        <v>56</v>
      </c>
      <c r="BB4" s="6"/>
      <c r="BD4" s="15"/>
      <c r="BE4" s="7" t="s">
        <v>144</v>
      </c>
      <c r="BF4" s="7" t="s">
        <v>56</v>
      </c>
      <c r="BH4" s="6"/>
    </row>
    <row r="5" spans="1:64" x14ac:dyDescent="0.25">
      <c r="A5" s="7">
        <v>1</v>
      </c>
      <c r="B5" s="181" t="s">
        <v>239</v>
      </c>
      <c r="C5" s="63"/>
      <c r="D5" s="63"/>
      <c r="E5" s="179"/>
      <c r="F5" s="179">
        <v>900</v>
      </c>
      <c r="G5" s="3">
        <v>0.4</v>
      </c>
      <c r="H5" s="4">
        <f>$H$11-H6-H7-H8</f>
        <v>0.5</v>
      </c>
      <c r="I5" s="48">
        <f>inputs!$B$11*H5/(0.65*G5^2)</f>
        <v>43.269230769230759</v>
      </c>
      <c r="J5" s="48">
        <f>ROUNDUP(I5,0)</f>
        <v>44</v>
      </c>
      <c r="K5" s="48">
        <f>ROUNDUP(J5/3,0)</f>
        <v>15</v>
      </c>
      <c r="L5" s="5">
        <f>1008/3</f>
        <v>336</v>
      </c>
      <c r="M5" s="50">
        <f t="shared" ref="M5:M10" si="0">3*L5*K5</f>
        <v>15120</v>
      </c>
      <c r="N5" s="9">
        <f t="shared" ref="N5:N11" si="1">M5/1024</f>
        <v>14.765625</v>
      </c>
      <c r="O5" s="9">
        <f t="shared" ref="O5:O10" si="2">J5*L5/1024</f>
        <v>14.4375</v>
      </c>
      <c r="P5" s="9">
        <f>(IF(I5=0,0,($AK$33*(M5/$M$11))/I5))*8*1024*1024/30/24/60/60</f>
        <v>2.2109372614422314E-2</v>
      </c>
      <c r="Q5" s="9"/>
      <c r="R5" s="9"/>
      <c r="S5" s="9"/>
      <c r="T5" s="8">
        <f>(W5*inputs!$F$11/inputs!$F$6/24)/(1+$AI$28)</f>
        <v>2.1742171495826135E-2</v>
      </c>
      <c r="U5" s="8">
        <f>IF(I5=0,0,(0.5*T5)/(inputs!$G$11))</f>
        <v>7.247390498608712E-2</v>
      </c>
      <c r="V5" s="8">
        <f>IF(I5=0,0,(0.5*T5*I5)/((1-inputs!$G$11)*I5))</f>
        <v>1.2789512644603609E-2</v>
      </c>
      <c r="W5" s="9">
        <f>L5/1024</f>
        <v>0.328125</v>
      </c>
      <c r="X5" s="188"/>
      <c r="Y5" s="19">
        <f>inputs!$L$53</f>
        <v>0.6</v>
      </c>
      <c r="Z5" s="7">
        <f>inputs!$K$53</f>
        <v>2145</v>
      </c>
      <c r="AA5" s="205">
        <f>Y5*Z5*(1-$AK$52)</f>
        <v>1201.7209913443712</v>
      </c>
      <c r="AB5" s="205">
        <f>Z5*$AK$52</f>
        <v>142.13168109271481</v>
      </c>
      <c r="AC5" s="205">
        <f>Y5*Z5</f>
        <v>1287</v>
      </c>
      <c r="AD5" s="205">
        <f>(Z5-Y5*Z5)*$AK$52</f>
        <v>56.852672437085921</v>
      </c>
      <c r="AE5" s="205">
        <f>AA5+AB5</f>
        <v>1343.8526724370861</v>
      </c>
      <c r="AF5" s="7">
        <f>(AE5*K5)*24*30/1000/1000/1000</f>
        <v>1.451360886232053E-2</v>
      </c>
      <c r="AH5" s="7" t="s">
        <v>356</v>
      </c>
      <c r="AI5" s="6">
        <f>AI4/30/24</f>
        <v>15.63178453798173</v>
      </c>
      <c r="AJ5" s="7" t="s">
        <v>188</v>
      </c>
      <c r="AK5" s="6"/>
      <c r="AM5" s="215"/>
      <c r="AS5" s="7" t="s">
        <v>91</v>
      </c>
      <c r="AV5" s="52">
        <f>ROUNDUP(inputs!$M$71*inputs!I74,0)</f>
        <v>0</v>
      </c>
      <c r="AW5" s="52"/>
      <c r="AX5" s="59"/>
      <c r="AY5" s="59"/>
      <c r="AZ5" s="52">
        <f t="shared" ref="AZ5:AZ15" si="3">AW5-$AV5</f>
        <v>0</v>
      </c>
      <c r="BA5" s="11"/>
      <c r="BB5" s="11"/>
      <c r="BC5" s="22">
        <v>0</v>
      </c>
      <c r="BD5" s="15">
        <v>15</v>
      </c>
      <c r="BE5" s="20">
        <f t="shared" ref="BE5:BE10" si="4">AV5*$BC5/12</f>
        <v>0</v>
      </c>
      <c r="BF5" s="52">
        <f t="shared" ref="BF5:BF10" si="5">AZ5+AW5*$BC5/12</f>
        <v>0</v>
      </c>
      <c r="BG5" s="57"/>
      <c r="BH5" s="57"/>
      <c r="BJ5" s="53">
        <v>50000</v>
      </c>
      <c r="BK5" s="20"/>
      <c r="BL5" s="20"/>
    </row>
    <row r="6" spans="1:64" x14ac:dyDescent="0.25">
      <c r="A6" s="7">
        <v>2</v>
      </c>
      <c r="B6" s="181" t="s">
        <v>239</v>
      </c>
      <c r="C6" s="63"/>
      <c r="D6" s="63"/>
      <c r="E6" s="179"/>
      <c r="F6" s="179">
        <v>900</v>
      </c>
      <c r="G6" s="3">
        <v>0.4</v>
      </c>
      <c r="H6" s="4">
        <f t="shared" ref="H6:K8" si="6">H27</f>
        <v>0.5</v>
      </c>
      <c r="I6" s="48">
        <f t="shared" si="6"/>
        <v>43.269230769230759</v>
      </c>
      <c r="J6" s="48">
        <f t="shared" si="6"/>
        <v>44</v>
      </c>
      <c r="K6" s="48">
        <f t="shared" si="6"/>
        <v>15</v>
      </c>
      <c r="L6" s="5">
        <f>553/3</f>
        <v>184.33333333333334</v>
      </c>
      <c r="M6" s="50">
        <f t="shared" si="0"/>
        <v>8295</v>
      </c>
      <c r="N6" s="9">
        <f t="shared" si="1"/>
        <v>8.1005859375</v>
      </c>
      <c r="O6" s="9">
        <f t="shared" si="2"/>
        <v>7.920572916666667</v>
      </c>
      <c r="P6" s="9"/>
      <c r="Q6" s="9"/>
      <c r="R6" s="9"/>
      <c r="S6" s="9"/>
      <c r="T6" s="8">
        <f>(W6*inputs!$F$11/inputs!$F$6/24)/(1+$AI$28)</f>
        <v>1.1927996862293505E-2</v>
      </c>
      <c r="U6" s="8">
        <f>IF(I6=0,0,(0.5*T6)/(inputs!$G$11))</f>
        <v>3.9759989540978355E-2</v>
      </c>
      <c r="V6" s="8">
        <f>IF(I6=0,0,(0.5*T6*I6)/((1-inputs!$G$11)*I6))</f>
        <v>7.016468742525591E-3</v>
      </c>
      <c r="W6" s="9">
        <f>L6/1024</f>
        <v>0.18001302083333334</v>
      </c>
      <c r="X6" s="188"/>
      <c r="Y6" s="19">
        <f>inputs!$L$53</f>
        <v>0.6</v>
      </c>
      <c r="Z6" s="7">
        <f>inputs!$K$53</f>
        <v>2145</v>
      </c>
      <c r="AA6" s="205">
        <f>Y6*Z6*(1-$AK$52)</f>
        <v>1201.7209913443712</v>
      </c>
      <c r="AB6" s="205">
        <f>Z6*$AK$52</f>
        <v>142.13168109271481</v>
      </c>
      <c r="AC6" s="205">
        <f>Y6*Z6</f>
        <v>1287</v>
      </c>
      <c r="AD6" s="205">
        <f>(Z6-Y6*Z6)*$AK$52</f>
        <v>56.852672437085921</v>
      </c>
      <c r="AE6" s="205">
        <f>AA6+AB6</f>
        <v>1343.8526724370861</v>
      </c>
      <c r="AF6" s="7">
        <f>(AE6*K6)*24*30/1000/1000/1000</f>
        <v>1.451360886232053E-2</v>
      </c>
      <c r="AS6" s="7" t="s">
        <v>92</v>
      </c>
      <c r="AV6" s="52">
        <f>ROUNDUP(inputs!$M$71*inputs!I75,0)</f>
        <v>11</v>
      </c>
      <c r="AW6" s="52"/>
      <c r="AY6" s="59"/>
      <c r="AZ6" s="52">
        <f t="shared" si="3"/>
        <v>-11</v>
      </c>
      <c r="BA6" s="11"/>
      <c r="BB6" s="11"/>
      <c r="BC6" s="22">
        <v>0</v>
      </c>
      <c r="BD6" s="15">
        <v>15</v>
      </c>
      <c r="BE6" s="20">
        <f t="shared" si="4"/>
        <v>0</v>
      </c>
      <c r="BF6" s="52">
        <f t="shared" si="5"/>
        <v>-11</v>
      </c>
      <c r="BG6" s="57"/>
      <c r="BH6" s="57"/>
      <c r="BJ6" s="53">
        <v>25000</v>
      </c>
      <c r="BK6" s="20"/>
      <c r="BL6" s="20"/>
    </row>
    <row r="7" spans="1:64" x14ac:dyDescent="0.25">
      <c r="B7" s="181" t="s">
        <v>239</v>
      </c>
      <c r="C7" s="63"/>
      <c r="D7" s="63"/>
      <c r="E7" s="184"/>
      <c r="F7" s="184">
        <v>900</v>
      </c>
      <c r="G7" s="3">
        <v>0.4</v>
      </c>
      <c r="H7" s="4">
        <f t="shared" si="6"/>
        <v>0</v>
      </c>
      <c r="I7" s="48">
        <f t="shared" si="6"/>
        <v>0</v>
      </c>
      <c r="J7" s="48">
        <f t="shared" si="6"/>
        <v>0</v>
      </c>
      <c r="K7" s="48">
        <f t="shared" si="6"/>
        <v>0</v>
      </c>
      <c r="L7" s="5">
        <f>553/3</f>
        <v>184.33333333333334</v>
      </c>
      <c r="M7" s="50">
        <f t="shared" si="0"/>
        <v>0</v>
      </c>
      <c r="N7" s="9">
        <f t="shared" si="1"/>
        <v>0</v>
      </c>
      <c r="O7" s="9">
        <f t="shared" si="2"/>
        <v>0</v>
      </c>
      <c r="P7" s="9"/>
      <c r="Q7" s="9"/>
      <c r="R7" s="9"/>
      <c r="S7" s="9"/>
      <c r="T7" s="8"/>
      <c r="U7" s="8"/>
      <c r="V7" s="8"/>
      <c r="W7" s="9"/>
      <c r="X7" s="188"/>
      <c r="Y7" s="19"/>
      <c r="AA7" s="205"/>
      <c r="AB7" s="205"/>
      <c r="AC7" s="205"/>
      <c r="AD7" s="205"/>
      <c r="AE7" s="205"/>
      <c r="AH7" s="7" t="s">
        <v>358</v>
      </c>
      <c r="AI7" s="5">
        <f>AI3*(1+inputs!F16)</f>
        <v>40067.167809041341</v>
      </c>
      <c r="AJ7" s="7" t="s">
        <v>355</v>
      </c>
      <c r="AK7" s="10"/>
      <c r="AL7" s="62"/>
      <c r="AS7" s="7" t="s">
        <v>93</v>
      </c>
      <c r="AV7" s="52">
        <f>ROUNDUP(inputs!$M$71*inputs!I76,0)</f>
        <v>10</v>
      </c>
      <c r="AW7" s="52"/>
      <c r="AX7" s="59"/>
      <c r="AY7" s="59"/>
      <c r="AZ7" s="52">
        <f t="shared" si="3"/>
        <v>-10</v>
      </c>
      <c r="BA7" s="11"/>
      <c r="BB7" s="11"/>
      <c r="BC7" s="22">
        <v>0</v>
      </c>
      <c r="BD7" s="15">
        <v>15</v>
      </c>
      <c r="BE7" s="20">
        <f t="shared" si="4"/>
        <v>0</v>
      </c>
      <c r="BF7" s="52">
        <f t="shared" si="5"/>
        <v>-10</v>
      </c>
      <c r="BG7" s="57"/>
      <c r="BH7" s="57"/>
      <c r="BJ7" s="53">
        <v>50000</v>
      </c>
      <c r="BK7" s="20"/>
      <c r="BL7" s="20"/>
    </row>
    <row r="8" spans="1:64" x14ac:dyDescent="0.25">
      <c r="B8" s="181" t="s">
        <v>239</v>
      </c>
      <c r="C8" s="63"/>
      <c r="D8" s="63"/>
      <c r="E8" s="184"/>
      <c r="F8" s="184">
        <v>900</v>
      </c>
      <c r="G8" s="3">
        <v>0.4</v>
      </c>
      <c r="H8" s="4">
        <f t="shared" si="6"/>
        <v>0</v>
      </c>
      <c r="I8" s="48">
        <f t="shared" si="6"/>
        <v>0</v>
      </c>
      <c r="J8" s="48">
        <f t="shared" si="6"/>
        <v>0</v>
      </c>
      <c r="K8" s="48">
        <f t="shared" si="6"/>
        <v>0</v>
      </c>
      <c r="L8" s="5">
        <f>553/3</f>
        <v>184.33333333333334</v>
      </c>
      <c r="M8" s="50">
        <f t="shared" si="0"/>
        <v>0</v>
      </c>
      <c r="N8" s="9">
        <f t="shared" si="1"/>
        <v>0</v>
      </c>
      <c r="O8" s="9">
        <f t="shared" si="2"/>
        <v>0</v>
      </c>
      <c r="P8" s="9"/>
      <c r="Q8" s="9"/>
      <c r="R8" s="9"/>
      <c r="S8" s="9"/>
      <c r="T8" s="8"/>
      <c r="U8" s="8"/>
      <c r="V8" s="8"/>
      <c r="W8" s="9"/>
      <c r="X8" s="188"/>
      <c r="Y8" s="19"/>
      <c r="AA8" s="205"/>
      <c r="AB8" s="205"/>
      <c r="AC8" s="205"/>
      <c r="AD8" s="205"/>
      <c r="AE8" s="205"/>
      <c r="AH8" s="7" t="s">
        <v>357</v>
      </c>
      <c r="AI8" s="5">
        <f>AI4*(1+inputs!F16)</f>
        <v>12380.373354081532</v>
      </c>
      <c r="AJ8" s="7" t="s">
        <v>36</v>
      </c>
      <c r="AK8" s="10"/>
      <c r="AL8" s="62"/>
      <c r="AS8" s="7" t="s">
        <v>94</v>
      </c>
      <c r="AV8" s="52">
        <f>ROUNDUP(inputs!$M$71*inputs!I77,0)</f>
        <v>81</v>
      </c>
      <c r="AW8" s="52"/>
      <c r="AX8" s="59"/>
      <c r="AY8" s="59"/>
      <c r="AZ8" s="52">
        <f t="shared" si="3"/>
        <v>-81</v>
      </c>
      <c r="BA8" s="11"/>
      <c r="BB8" s="11"/>
      <c r="BC8" s="22">
        <v>0</v>
      </c>
      <c r="BD8" s="15">
        <v>15</v>
      </c>
      <c r="BE8" s="20">
        <f t="shared" si="4"/>
        <v>0</v>
      </c>
      <c r="BF8" s="52">
        <f t="shared" si="5"/>
        <v>-81</v>
      </c>
      <c r="BG8" s="57"/>
      <c r="BH8" s="57"/>
      <c r="BJ8" s="53">
        <v>25000</v>
      </c>
      <c r="BK8" s="20"/>
      <c r="BL8" s="20"/>
    </row>
    <row r="9" spans="1:64" x14ac:dyDescent="0.25">
      <c r="A9" s="7">
        <v>3</v>
      </c>
      <c r="B9" s="181" t="s">
        <v>240</v>
      </c>
      <c r="C9" s="63"/>
      <c r="D9" s="63"/>
      <c r="E9" s="179"/>
      <c r="F9" s="179">
        <v>1800</v>
      </c>
      <c r="G9" s="3">
        <v>0.25</v>
      </c>
      <c r="H9" s="47">
        <v>0</v>
      </c>
      <c r="I9" s="48">
        <f>inputs!$B$11*H9/(0.65*G9^2)</f>
        <v>0</v>
      </c>
      <c r="J9" s="48">
        <f>ROUNDUP(I9,0)</f>
        <v>0</v>
      </c>
      <c r="K9" s="48">
        <f>ROUNDUP(J9,0)</f>
        <v>0</v>
      </c>
      <c r="L9" s="5">
        <f>1253/3</f>
        <v>417.66666666666669</v>
      </c>
      <c r="M9" s="50">
        <f t="shared" si="0"/>
        <v>0</v>
      </c>
      <c r="N9" s="9">
        <f t="shared" si="1"/>
        <v>0</v>
      </c>
      <c r="O9" s="9">
        <f t="shared" si="2"/>
        <v>0</v>
      </c>
      <c r="P9" s="9"/>
      <c r="Q9" s="9"/>
      <c r="R9" s="9"/>
      <c r="S9" s="9"/>
      <c r="T9" s="8">
        <f>(W9*inputs!$F$11/inputs!$F$6/24)/(1+$AI$28)</f>
        <v>2.7026727067728327E-2</v>
      </c>
      <c r="U9" s="8">
        <f>IF(I9=0,0,(0.5*T9)/(inputs!$G$11))</f>
        <v>0</v>
      </c>
      <c r="V9" s="8">
        <f>IF(I9=0,0,(0.5*T9*I9)/((1-inputs!$G$11)*I9))</f>
        <v>0</v>
      </c>
      <c r="W9" s="9">
        <f>L9/1024</f>
        <v>0.40787760416666669</v>
      </c>
      <c r="X9" s="188"/>
      <c r="Y9" s="19">
        <f>inputs!$L$53</f>
        <v>0.6</v>
      </c>
      <c r="Z9" s="7">
        <f>inputs!$K$53</f>
        <v>2145</v>
      </c>
      <c r="AA9" s="205">
        <f>Y9*Z9*(1-$AK$52)</f>
        <v>1201.7209913443712</v>
      </c>
      <c r="AB9" s="205">
        <f>Z9*$AK$52</f>
        <v>142.13168109271481</v>
      </c>
      <c r="AC9" s="205">
        <f>Y9*Z9</f>
        <v>1287</v>
      </c>
      <c r="AD9" s="205">
        <f>(Z9-Y9*Z9)*$AK$52</f>
        <v>56.852672437085921</v>
      </c>
      <c r="AE9" s="205">
        <f>AA9+AB9</f>
        <v>1343.8526724370861</v>
      </c>
      <c r="AF9" s="7">
        <f>(AE9*K9)*24*30/1000/1000/1000</f>
        <v>0</v>
      </c>
      <c r="AI9" s="5"/>
      <c r="AL9" s="62"/>
      <c r="AS9" s="7" t="s">
        <v>95</v>
      </c>
      <c r="AU9" s="20"/>
      <c r="AV9" s="52">
        <f>ROUNDUP(inputs!$M$71*inputs!I78,0)</f>
        <v>3</v>
      </c>
      <c r="AW9" s="52"/>
      <c r="AX9" s="59"/>
      <c r="AY9" s="59"/>
      <c r="AZ9" s="52">
        <f t="shared" si="3"/>
        <v>-3</v>
      </c>
      <c r="BA9" s="11"/>
      <c r="BB9" s="11"/>
      <c r="BC9" s="22">
        <v>0</v>
      </c>
      <c r="BD9" s="15">
        <v>15</v>
      </c>
      <c r="BE9" s="20">
        <f t="shared" si="4"/>
        <v>0</v>
      </c>
      <c r="BF9" s="52">
        <f t="shared" si="5"/>
        <v>-3</v>
      </c>
      <c r="BG9" s="57"/>
      <c r="BH9" s="57"/>
      <c r="BJ9" s="53">
        <f>BJ7/3</f>
        <v>16666.666666666668</v>
      </c>
      <c r="BK9" s="20"/>
      <c r="BL9" s="20"/>
    </row>
    <row r="10" spans="1:64" x14ac:dyDescent="0.25">
      <c r="A10" s="7">
        <v>4</v>
      </c>
      <c r="B10" s="181" t="s">
        <v>274</v>
      </c>
      <c r="C10" s="7" t="s">
        <v>327</v>
      </c>
      <c r="F10" s="179">
        <v>1800</v>
      </c>
      <c r="G10" s="3">
        <v>0.25</v>
      </c>
      <c r="H10" s="47">
        <f>H35+H41+H47</f>
        <v>1</v>
      </c>
      <c r="I10" s="48">
        <f>I35+I41+I47</f>
        <v>221.53846153846152</v>
      </c>
      <c r="J10" s="48">
        <f>ROUNDUP(I10,0)</f>
        <v>222</v>
      </c>
      <c r="K10" s="48">
        <f>K35+K41+K47</f>
        <v>74</v>
      </c>
      <c r="L10" s="5">
        <v>0</v>
      </c>
      <c r="M10" s="50">
        <f t="shared" si="0"/>
        <v>0</v>
      </c>
      <c r="N10" s="9">
        <f t="shared" si="1"/>
        <v>0</v>
      </c>
      <c r="O10" s="9">
        <f t="shared" si="2"/>
        <v>0</v>
      </c>
      <c r="P10" s="9"/>
      <c r="Q10" s="9"/>
      <c r="R10" s="9"/>
      <c r="S10" s="9"/>
      <c r="T10" s="8">
        <f>(W10*inputs!$F$11/inputs!$F$6/24)/(1+$AI$28)</f>
        <v>0</v>
      </c>
      <c r="U10" s="8">
        <f>IF(I10=0,0,(0.5*T10)/(inputs!$G$11))</f>
        <v>0</v>
      </c>
      <c r="V10" s="8">
        <f>IF(I10=0,0,(0.5*T10*I10)/((1-inputs!$G$11)*I10))</f>
        <v>0</v>
      </c>
      <c r="W10" s="9">
        <f>L10/1024</f>
        <v>0</v>
      </c>
      <c r="X10" s="188"/>
      <c r="Y10" s="19">
        <f>inputs!$L$53</f>
        <v>0.6</v>
      </c>
      <c r="Z10" s="7">
        <f>inputs!$K$53</f>
        <v>2145</v>
      </c>
      <c r="AA10" s="205">
        <f>Y10*Z10*(1-$AK$52)</f>
        <v>1201.7209913443712</v>
      </c>
      <c r="AB10" s="205">
        <f>Z10*$AK$52</f>
        <v>142.13168109271481</v>
      </c>
      <c r="AC10" s="205">
        <f>Y10*Z10</f>
        <v>1287</v>
      </c>
      <c r="AD10" s="205">
        <f>(Z10-Y10*Z10)*$AK$52</f>
        <v>56.852672437085921</v>
      </c>
      <c r="AE10" s="205">
        <f>AA10+AB10</f>
        <v>1343.8526724370861</v>
      </c>
      <c r="AF10" s="7">
        <v>0</v>
      </c>
      <c r="AH10" s="7" t="s">
        <v>189</v>
      </c>
      <c r="AI10" s="5">
        <f>AI3</f>
        <v>36424.698008219399</v>
      </c>
      <c r="AJ10" s="7" t="s">
        <v>359</v>
      </c>
      <c r="AK10" s="5"/>
      <c r="AL10" s="62"/>
      <c r="AS10" s="7" t="s">
        <v>96</v>
      </c>
      <c r="AU10" s="20"/>
      <c r="AV10" s="52">
        <f>ROUNDUP(inputs!$M$71*inputs!I79,0)</f>
        <v>20</v>
      </c>
      <c r="AW10" s="52"/>
      <c r="AX10" s="59"/>
      <c r="AY10" s="59"/>
      <c r="AZ10" s="52">
        <f t="shared" si="3"/>
        <v>-20</v>
      </c>
      <c r="BA10" s="11"/>
      <c r="BB10" s="11"/>
      <c r="BC10" s="22">
        <v>0</v>
      </c>
      <c r="BD10" s="15">
        <v>15</v>
      </c>
      <c r="BE10" s="20">
        <f t="shared" si="4"/>
        <v>0</v>
      </c>
      <c r="BF10" s="52">
        <f t="shared" si="5"/>
        <v>-20</v>
      </c>
      <c r="BG10" s="57"/>
      <c r="BH10" s="57"/>
      <c r="BJ10" s="53">
        <f>BJ8/3</f>
        <v>8333.3333333333339</v>
      </c>
      <c r="BK10" s="20"/>
      <c r="BL10" s="20"/>
    </row>
    <row r="11" spans="1:64" x14ac:dyDescent="0.25">
      <c r="B11" s="181"/>
      <c r="C11" s="63"/>
      <c r="D11" s="63"/>
      <c r="E11" s="179"/>
      <c r="F11" s="179"/>
      <c r="G11" s="3"/>
      <c r="H11" s="182">
        <v>1</v>
      </c>
      <c r="I11" s="49">
        <f>I5+I9+I6</f>
        <v>86.538461538461519</v>
      </c>
      <c r="J11" s="49">
        <f>J5+J9+J6</f>
        <v>88</v>
      </c>
      <c r="K11" s="49">
        <f>SUM(K5:K9)</f>
        <v>30</v>
      </c>
      <c r="L11" s="17"/>
      <c r="M11" s="54">
        <f>M5+M9+M6</f>
        <v>23415</v>
      </c>
      <c r="N11" s="49">
        <f t="shared" si="1"/>
        <v>22.8662109375</v>
      </c>
      <c r="O11" s="49">
        <f>O5+O9+O6</f>
        <v>22.358072916666668</v>
      </c>
      <c r="X11" s="188"/>
      <c r="Y11" s="14"/>
      <c r="AA11" s="36">
        <f>(AA5*$K$5+AA6*$K$6+AA9*$K$9)*24*30/1000/1000/1000</f>
        <v>2.5957173413038416E-2</v>
      </c>
      <c r="AB11" s="36">
        <f>(AB5*$K$5+AB6*$K$6+AB9*$K$9)*24*30/1000/1000/1000</f>
        <v>3.0700443116026405E-3</v>
      </c>
      <c r="AC11" s="36">
        <f>(AC5*$K$5+AC6*$K$6+AC9*$K$9)*24*30/1000/1000/1000</f>
        <v>2.77992E-2</v>
      </c>
      <c r="AD11" s="36">
        <f>(AD5*$K$5+AD6*$K$6+AD9*$K$9)*24*30/1000/1000/1000</f>
        <v>1.2280177246410558E-3</v>
      </c>
      <c r="AE11" s="36">
        <f>(AE5*$K$5+AE6*$K$6)*24*30/1000/1000/1000</f>
        <v>2.902721772464106E-2</v>
      </c>
      <c r="AF11" s="7">
        <f>SUM(AF5:AF10)</f>
        <v>2.902721772464106E-2</v>
      </c>
      <c r="AH11" s="7" t="s">
        <v>189</v>
      </c>
      <c r="AI11" s="220">
        <f>((AI10*inputs!F11*60*60/inputs!F6)*30/8/1024/1024)*(1+inputs!F16)</f>
        <v>1289.6222243834925</v>
      </c>
      <c r="AJ11" s="7" t="s">
        <v>36</v>
      </c>
      <c r="AK11" s="220"/>
      <c r="AL11" s="62"/>
      <c r="AS11" s="7" t="s">
        <v>97</v>
      </c>
      <c r="AU11" s="28"/>
      <c r="AV11" s="28">
        <f>SUM(AV5:AV10)</f>
        <v>125</v>
      </c>
      <c r="AW11" s="28"/>
      <c r="AX11" s="38"/>
      <c r="AY11" s="38"/>
      <c r="AZ11" s="28">
        <f t="shared" si="3"/>
        <v>-125</v>
      </c>
      <c r="BA11" s="11"/>
      <c r="BB11" s="11"/>
      <c r="BC11" s="22"/>
      <c r="BD11" s="15"/>
      <c r="BE11" s="28">
        <f>SUM(BE5:BE10)</f>
        <v>0</v>
      </c>
      <c r="BF11" s="28">
        <f>SUM(BF5:BF10)</f>
        <v>-125</v>
      </c>
      <c r="BG11" s="58"/>
      <c r="BH11" s="58"/>
      <c r="BJ11" s="53"/>
      <c r="BK11" s="20"/>
      <c r="BL11" s="20"/>
    </row>
    <row r="12" spans="1:64" x14ac:dyDescent="0.25">
      <c r="C12" s="63"/>
      <c r="D12" s="63"/>
      <c r="E12" s="63"/>
      <c r="F12" s="68"/>
      <c r="G12" s="179"/>
      <c r="H12" s="179"/>
      <c r="I12" s="48"/>
      <c r="J12" s="48"/>
      <c r="K12" s="9"/>
      <c r="L12" s="63"/>
      <c r="M12" s="17"/>
      <c r="N12" s="9"/>
      <c r="O12" s="9"/>
      <c r="P12" s="9"/>
      <c r="Q12" s="9"/>
      <c r="R12" s="9"/>
      <c r="S12" s="9"/>
      <c r="T12" s="9"/>
      <c r="U12" s="9"/>
      <c r="V12" s="9"/>
      <c r="W12" s="9"/>
      <c r="X12" s="188"/>
      <c r="Y12" s="14"/>
      <c r="AA12" s="205"/>
      <c r="AB12" s="205"/>
      <c r="AC12" s="205"/>
      <c r="AD12" s="205"/>
      <c r="AE12" s="7" t="s">
        <v>167</v>
      </c>
      <c r="AI12" s="6"/>
      <c r="AL12" s="20"/>
      <c r="AR12" s="7" t="s">
        <v>25</v>
      </c>
      <c r="AS12" s="7" t="s">
        <v>80</v>
      </c>
      <c r="AV12" s="52">
        <f>K11</f>
        <v>30</v>
      </c>
      <c r="AW12" s="52"/>
      <c r="AX12" s="59"/>
      <c r="AY12" s="59"/>
      <c r="AZ12" s="52">
        <f t="shared" si="3"/>
        <v>-30</v>
      </c>
      <c r="BA12" s="11"/>
      <c r="BB12" s="11"/>
      <c r="BC12" s="22">
        <v>0</v>
      </c>
      <c r="BD12" s="15">
        <v>8</v>
      </c>
      <c r="BE12" s="23">
        <f t="shared" ref="BE12:BE18" si="7">AV12*$BC12/12</f>
        <v>0</v>
      </c>
      <c r="BF12" s="52">
        <f>AZ12+AW12*$BC12/12</f>
        <v>-30</v>
      </c>
      <c r="BG12" s="57"/>
      <c r="BH12" s="57"/>
      <c r="BJ12" s="53">
        <v>30000</v>
      </c>
      <c r="BK12" s="20"/>
      <c r="BL12" s="20"/>
    </row>
    <row r="13" spans="1:64" x14ac:dyDescent="0.25">
      <c r="B13" s="179" t="s">
        <v>27</v>
      </c>
      <c r="D13" s="63" t="s">
        <v>208</v>
      </c>
      <c r="E13" s="63" t="s">
        <v>209</v>
      </c>
      <c r="F13" s="16"/>
      <c r="G13" s="179" t="s">
        <v>41</v>
      </c>
      <c r="H13" s="179" t="s">
        <v>26</v>
      </c>
      <c r="I13" s="48"/>
      <c r="J13" s="48"/>
      <c r="K13" s="9" t="s">
        <v>28</v>
      </c>
      <c r="L13" s="13" t="s">
        <v>324</v>
      </c>
      <c r="M13" s="184" t="s">
        <v>325</v>
      </c>
      <c r="N13" s="9"/>
      <c r="O13" s="9"/>
      <c r="P13" s="9"/>
      <c r="Q13" s="9"/>
      <c r="R13" s="9"/>
      <c r="S13" s="9"/>
      <c r="T13" s="9"/>
      <c r="U13" s="9"/>
      <c r="V13" s="9"/>
      <c r="W13" s="9"/>
      <c r="X13" s="188"/>
      <c r="AA13" s="205"/>
      <c r="AB13" s="205"/>
      <c r="AC13" s="205"/>
      <c r="AD13" s="36">
        <f>AD5*24*30/1000/1000</f>
        <v>4.0933924154701873E-2</v>
      </c>
      <c r="AE13" s="205"/>
      <c r="AH13" s="7" t="s">
        <v>38</v>
      </c>
      <c r="AL13" s="20"/>
      <c r="AS13" s="7" t="s">
        <v>98</v>
      </c>
      <c r="AV13" s="52">
        <f>inputs!L34*((J5/3)*inputs!L35+(J6/3)*inputs!M35)/inputs!L36</f>
        <v>3.9477539062499997E-2</v>
      </c>
      <c r="AW13" s="52"/>
      <c r="AX13" s="59"/>
      <c r="AY13" s="59"/>
      <c r="AZ13" s="52">
        <f t="shared" si="3"/>
        <v>-3.9477539062499997E-2</v>
      </c>
      <c r="BA13" s="11"/>
      <c r="BB13" s="11"/>
      <c r="BC13" s="22">
        <v>0</v>
      </c>
      <c r="BD13" s="15">
        <v>8</v>
      </c>
      <c r="BE13" s="23">
        <f t="shared" si="7"/>
        <v>0</v>
      </c>
      <c r="BF13" s="52">
        <f>AZ13+AW13*$BC13/12</f>
        <v>-3.9477539062499997E-2</v>
      </c>
      <c r="BG13" s="57"/>
      <c r="BH13" s="57"/>
      <c r="BJ13" s="53">
        <v>350000</v>
      </c>
      <c r="BK13" s="20"/>
      <c r="BL13" s="20"/>
    </row>
    <row r="14" spans="1:64" x14ac:dyDescent="0.25">
      <c r="A14" s="7">
        <v>5</v>
      </c>
      <c r="B14" s="181" t="s">
        <v>241</v>
      </c>
      <c r="D14" s="63">
        <v>4.95</v>
      </c>
      <c r="E14" s="63">
        <v>0.9</v>
      </c>
      <c r="F14" s="179">
        <v>2100</v>
      </c>
      <c r="G14" s="178">
        <v>0.23</v>
      </c>
      <c r="H14" s="4">
        <v>0</v>
      </c>
      <c r="I14" s="48">
        <f>inputs!$B$11*H14/(0.65*G14^2)</f>
        <v>0</v>
      </c>
      <c r="J14" s="48">
        <f>ROUNDUP(I14,0)</f>
        <v>0</v>
      </c>
      <c r="K14" s="48">
        <f>ROUNDUP(J14/3,0)</f>
        <v>0</v>
      </c>
      <c r="L14" s="5">
        <f t="shared" ref="L14:L25" si="8">D14*1000000*E14/1024</f>
        <v>4350.5859375</v>
      </c>
      <c r="M14" s="50">
        <f>3*L14*K14</f>
        <v>0</v>
      </c>
      <c r="N14" s="9">
        <f>M14/1024</f>
        <v>0</v>
      </c>
      <c r="O14" s="9">
        <f>J14*L14/1024</f>
        <v>0</v>
      </c>
      <c r="P14" s="9"/>
      <c r="Q14" s="9"/>
      <c r="R14" s="9"/>
      <c r="T14" s="9">
        <f>(W14*inputs!$F$11/inputs!$F$6/24)/(1+$AI$28)</f>
        <v>0.28152138559659085</v>
      </c>
      <c r="U14" s="9">
        <f>IF(I14=0,0,(0.5*T14)/(inputs!$G$11))</f>
        <v>0</v>
      </c>
      <c r="V14" s="9">
        <f>IF(I14=0,0,(0.5*T14*I14)/((1-inputs!$G$11)*I14))</f>
        <v>0</v>
      </c>
      <c r="W14" s="9">
        <f>L14/1024</f>
        <v>4.2486190795898438</v>
      </c>
      <c r="X14" s="188"/>
      <c r="Y14" s="19">
        <f>inputs!$L$54</f>
        <v>0.55000000000000004</v>
      </c>
      <c r="Z14" s="7">
        <f>inputs!$K$54</f>
        <v>1450</v>
      </c>
      <c r="AA14" s="205">
        <f t="shared" ref="AA14:AA25" si="9">Y14*Z14*(1-$AK$52)</f>
        <v>744.65616985014458</v>
      </c>
      <c r="AB14" s="205">
        <f t="shared" ref="AB14:AB25" si="10">Z14*$AK$52</f>
        <v>96.079691181555461</v>
      </c>
      <c r="AC14" s="205">
        <f>Y14*Z14</f>
        <v>797.50000000000011</v>
      </c>
      <c r="AD14" s="205">
        <f t="shared" ref="AD14:AD25" si="11">(Z14-Y14*Z14)*$AK$52</f>
        <v>43.235861031699947</v>
      </c>
      <c r="AE14" s="205">
        <f>AA14+AB14</f>
        <v>840.7358610317001</v>
      </c>
      <c r="AF14" s="7">
        <f>(AE14*K14)*24*30/1000/1000/1000</f>
        <v>0</v>
      </c>
      <c r="AH14" s="7" t="s">
        <v>25</v>
      </c>
      <c r="AI14" s="25">
        <f>O11/(O11+O26+O30+O51)</f>
        <v>6.1381628782815074E-4</v>
      </c>
      <c r="AJ14" s="25"/>
      <c r="AK14" s="9"/>
      <c r="AL14" s="20"/>
      <c r="AO14" s="189"/>
      <c r="AP14" s="20"/>
      <c r="AS14" s="7" t="s">
        <v>99</v>
      </c>
      <c r="AV14" s="52">
        <f>0*AV12/inputs!$L$38</f>
        <v>0</v>
      </c>
      <c r="AW14" s="52"/>
      <c r="AX14" s="59"/>
      <c r="AY14" s="59"/>
      <c r="AZ14" s="52">
        <f t="shared" si="3"/>
        <v>0</v>
      </c>
      <c r="BA14" s="11"/>
      <c r="BB14" s="11"/>
      <c r="BC14" s="22">
        <v>0</v>
      </c>
      <c r="BD14" s="15">
        <v>8</v>
      </c>
      <c r="BE14" s="23">
        <f t="shared" si="7"/>
        <v>0</v>
      </c>
      <c r="BF14" s="52">
        <f>AZ14+AW14*$BC14/12</f>
        <v>0</v>
      </c>
      <c r="BG14" s="57"/>
      <c r="BH14" s="57"/>
      <c r="BJ14" s="53">
        <v>100000</v>
      </c>
      <c r="BK14" s="20"/>
      <c r="BL14" s="20"/>
    </row>
    <row r="15" spans="1:64" x14ac:dyDescent="0.25">
      <c r="A15" s="7">
        <v>6</v>
      </c>
      <c r="B15" s="181" t="s">
        <v>242</v>
      </c>
      <c r="D15" s="63">
        <f>2*D14</f>
        <v>9.9</v>
      </c>
      <c r="E15" s="63">
        <v>1.05</v>
      </c>
      <c r="F15" s="179">
        <v>2100</v>
      </c>
      <c r="G15" s="185">
        <v>0.23</v>
      </c>
      <c r="H15" s="4">
        <f>1-H65-H68-H71-H74</f>
        <v>0.15183666666666662</v>
      </c>
      <c r="I15" s="48">
        <f>inputs!$B$11*H15/(0.65*G15^2)</f>
        <v>39.742038679656808</v>
      </c>
      <c r="J15" s="48">
        <f>ROUNDUP(I15,0)</f>
        <v>40</v>
      </c>
      <c r="K15" s="48">
        <f t="shared" ref="K15:K25" si="12">ROUNDUP(J15/3,0)</f>
        <v>14</v>
      </c>
      <c r="L15" s="5">
        <f t="shared" si="8"/>
        <v>10151.3671875</v>
      </c>
      <c r="M15" s="50">
        <f t="shared" ref="M15:M25" si="13">3*L15*K15</f>
        <v>426357.421875</v>
      </c>
      <c r="N15" s="9">
        <f>M15/1024</f>
        <v>416.36466979980469</v>
      </c>
      <c r="O15" s="9">
        <f t="shared" ref="O15:O25" si="14">J15*L15/1024</f>
        <v>396.53778076171875</v>
      </c>
      <c r="P15" s="9"/>
      <c r="Q15" s="9"/>
      <c r="R15" s="9"/>
      <c r="T15" s="9">
        <f>(W15*inputs!$F$11/inputs!$F$6/24)/(1+$AI$28)</f>
        <v>0.65688323305871199</v>
      </c>
      <c r="U15" s="9">
        <f>IF(I15=0,0,(0.5*T15)/(inputs!$G$11))</f>
        <v>2.1896107768623736</v>
      </c>
      <c r="V15" s="9">
        <f>IF(I15=0,0,(0.5*T15*I15)/((1-inputs!$G$11)*I15))</f>
        <v>0.38640190179924233</v>
      </c>
      <c r="W15" s="9">
        <f t="shared" ref="W15:W29" si="15">L15/1024</f>
        <v>9.9134445190429688</v>
      </c>
      <c r="X15" s="188"/>
      <c r="Y15" s="19">
        <f>inputs!$L$55</f>
        <v>0.55000000000000004</v>
      </c>
      <c r="Z15" s="7">
        <f>inputs!$K$55</f>
        <v>1500</v>
      </c>
      <c r="AA15" s="205">
        <f t="shared" si="9"/>
        <v>770.33396881049441</v>
      </c>
      <c r="AB15" s="205">
        <f t="shared" si="10"/>
        <v>99.392783980919447</v>
      </c>
      <c r="AC15" s="205">
        <f t="shared" ref="AC15:AC25" si="16">Y15*Z15</f>
        <v>825.00000000000011</v>
      </c>
      <c r="AD15" s="205">
        <f t="shared" si="11"/>
        <v>44.726752791413745</v>
      </c>
      <c r="AE15" s="205">
        <f t="shared" ref="AE15:AE25" si="17">AA15+AB15</f>
        <v>869.7267527914139</v>
      </c>
      <c r="AF15" s="7">
        <f>(AE15*K15)*24*30/1000/1000/1000</f>
        <v>8.7668456681374504E-3</v>
      </c>
      <c r="AH15" s="7" t="s">
        <v>27</v>
      </c>
      <c r="AI15" s="25">
        <f>(O26+O30)/(O11+O26+O30+O51)</f>
        <v>1.6018719499939511E-2</v>
      </c>
      <c r="AJ15" s="25"/>
      <c r="AK15" s="9"/>
      <c r="AL15" s="20"/>
      <c r="AR15" s="7" t="s">
        <v>27</v>
      </c>
      <c r="AS15" s="7" t="s">
        <v>100</v>
      </c>
      <c r="AV15" s="52">
        <f>K26+K30</f>
        <v>29</v>
      </c>
      <c r="AW15" s="52"/>
      <c r="AX15" s="59"/>
      <c r="AY15" s="59"/>
      <c r="AZ15" s="52">
        <f t="shared" si="3"/>
        <v>-29</v>
      </c>
      <c r="BA15" s="11"/>
      <c r="BB15" s="11"/>
      <c r="BC15" s="22">
        <v>0</v>
      </c>
      <c r="BD15" s="15">
        <v>8</v>
      </c>
      <c r="BE15" s="23">
        <f t="shared" si="7"/>
        <v>0</v>
      </c>
      <c r="BF15" s="52">
        <f>AZ15+AW15*$BC15/12</f>
        <v>-29</v>
      </c>
      <c r="BG15" s="57"/>
      <c r="BH15" s="57"/>
      <c r="BJ15" s="53">
        <v>50000</v>
      </c>
      <c r="BK15" s="20"/>
      <c r="BL15" s="20"/>
    </row>
    <row r="16" spans="1:64" x14ac:dyDescent="0.25">
      <c r="A16" s="7">
        <v>7</v>
      </c>
      <c r="B16" s="181" t="s">
        <v>266</v>
      </c>
      <c r="D16" s="63">
        <f>3*D14</f>
        <v>14.850000000000001</v>
      </c>
      <c r="E16" s="63">
        <v>1.05</v>
      </c>
      <c r="F16" s="180">
        <v>2100</v>
      </c>
      <c r="G16" s="185">
        <v>0.23</v>
      </c>
      <c r="H16" s="4">
        <v>0</v>
      </c>
      <c r="I16" s="48">
        <f>inputs!$B$11*H16/(0.65*G16^2)</f>
        <v>0</v>
      </c>
      <c r="J16" s="48">
        <f t="shared" ref="J16:J29" si="18">ROUNDUP(I16,0)</f>
        <v>0</v>
      </c>
      <c r="K16" s="48">
        <f t="shared" si="12"/>
        <v>0</v>
      </c>
      <c r="L16" s="5">
        <f t="shared" si="8"/>
        <v>15227.050781250002</v>
      </c>
      <c r="M16" s="50">
        <f t="shared" si="13"/>
        <v>0</v>
      </c>
      <c r="N16" s="9">
        <f t="shared" ref="N16:N25" si="19">M16/1024</f>
        <v>0</v>
      </c>
      <c r="O16" s="9">
        <f t="shared" si="14"/>
        <v>0</v>
      </c>
      <c r="P16" s="9"/>
      <c r="Q16" s="9"/>
      <c r="R16" s="9"/>
      <c r="T16" s="9">
        <f>(W16*inputs!$F$11/inputs!$F$6/24)/(1+$AI$28)</f>
        <v>0.98532484958806799</v>
      </c>
      <c r="U16" s="9">
        <f>IF(I16=0,0,(0.5*T16)/(inputs!$G$11))</f>
        <v>0</v>
      </c>
      <c r="V16" s="9">
        <f>IF(I16=0,0,(0.5*T16*I16)/((1-inputs!$G$11)*I16))</f>
        <v>0</v>
      </c>
      <c r="W16" s="9">
        <f t="shared" si="15"/>
        <v>14.870166778564455</v>
      </c>
      <c r="X16" s="188"/>
      <c r="Y16" s="19">
        <f>inputs!$L$56</f>
        <v>0.55000000000000004</v>
      </c>
      <c r="Z16" s="7">
        <f>inputs!$K$56</f>
        <v>1550</v>
      </c>
      <c r="AA16" s="205">
        <f t="shared" si="9"/>
        <v>796.01176777084424</v>
      </c>
      <c r="AB16" s="205">
        <f t="shared" si="10"/>
        <v>102.70587678028342</v>
      </c>
      <c r="AC16" s="205">
        <f t="shared" si="16"/>
        <v>852.50000000000011</v>
      </c>
      <c r="AD16" s="205">
        <f t="shared" si="11"/>
        <v>46.217644551127535</v>
      </c>
      <c r="AE16" s="205">
        <f t="shared" si="17"/>
        <v>898.71764455112771</v>
      </c>
      <c r="AF16" s="7">
        <f t="shared" ref="AF16:AF29" si="20">(AE16*K16)*24*30/1000/1000/1000</f>
        <v>0</v>
      </c>
      <c r="AH16" s="7" t="s">
        <v>341</v>
      </c>
      <c r="AI16" s="25">
        <f>O98/(O11+O26+O30+O78+O98)</f>
        <v>0.11150423753120586</v>
      </c>
      <c r="AJ16" s="25"/>
      <c r="AK16" s="9"/>
      <c r="AL16" s="20"/>
      <c r="AS16" s="7" t="s">
        <v>139</v>
      </c>
      <c r="AV16" s="52">
        <v>0</v>
      </c>
      <c r="AW16" s="52"/>
      <c r="AX16" s="59"/>
      <c r="AY16" s="59"/>
      <c r="AZ16" s="52">
        <f>AW16</f>
        <v>0</v>
      </c>
      <c r="BA16" s="11"/>
      <c r="BB16" s="11"/>
      <c r="BC16" s="22">
        <v>0</v>
      </c>
      <c r="BD16" s="15">
        <v>8</v>
      </c>
      <c r="BE16" s="23">
        <f t="shared" si="7"/>
        <v>0</v>
      </c>
      <c r="BF16" s="52">
        <f>AZ16</f>
        <v>0</v>
      </c>
      <c r="BG16" s="57"/>
      <c r="BH16" s="57"/>
      <c r="BJ16" s="53">
        <v>10000</v>
      </c>
      <c r="BK16" s="20"/>
      <c r="BL16" s="20"/>
    </row>
    <row r="17" spans="1:64" x14ac:dyDescent="0.25">
      <c r="A17" s="7">
        <v>8</v>
      </c>
      <c r="B17" s="181" t="s">
        <v>265</v>
      </c>
      <c r="D17" s="63">
        <f>4*D14</f>
        <v>19.8</v>
      </c>
      <c r="E17" s="63">
        <v>1.05</v>
      </c>
      <c r="F17" s="180">
        <v>2100</v>
      </c>
      <c r="G17" s="185">
        <v>0.23</v>
      </c>
      <c r="H17" s="4">
        <v>0</v>
      </c>
      <c r="I17" s="48">
        <f>inputs!$B$11*H17/(0.65*G17^2)</f>
        <v>0</v>
      </c>
      <c r="J17" s="48">
        <f t="shared" si="18"/>
        <v>0</v>
      </c>
      <c r="K17" s="48">
        <f t="shared" si="12"/>
        <v>0</v>
      </c>
      <c r="L17" s="5">
        <f t="shared" si="8"/>
        <v>20302.734375</v>
      </c>
      <c r="M17" s="50">
        <f t="shared" si="13"/>
        <v>0</v>
      </c>
      <c r="N17" s="9">
        <f t="shared" si="19"/>
        <v>0</v>
      </c>
      <c r="O17" s="9">
        <f t="shared" si="14"/>
        <v>0</v>
      </c>
      <c r="P17" s="9"/>
      <c r="Q17" s="9"/>
      <c r="R17" s="9"/>
      <c r="T17" s="9">
        <f>(W17*inputs!$F$11/inputs!$F$6/24)/(1+$AI$28)</f>
        <v>1.313766466117424</v>
      </c>
      <c r="U17" s="9">
        <f>IF(I17=0,0,(0.5*T17)/(inputs!$G$11))</f>
        <v>0</v>
      </c>
      <c r="V17" s="9">
        <f>IF(I17=0,0,(0.5*T17*I17)/((1-inputs!$G$11)*I17))</f>
        <v>0</v>
      </c>
      <c r="W17" s="9">
        <f t="shared" si="15"/>
        <v>19.826889038085938</v>
      </c>
      <c r="X17" s="188"/>
      <c r="Y17" s="19">
        <f>inputs!$L$57</f>
        <v>0.55000000000000004</v>
      </c>
      <c r="Z17" s="7">
        <f>inputs!$K$57</f>
        <v>1600</v>
      </c>
      <c r="AA17" s="205">
        <f t="shared" si="9"/>
        <v>821.68956673119408</v>
      </c>
      <c r="AB17" s="205">
        <f t="shared" si="10"/>
        <v>106.0189695796474</v>
      </c>
      <c r="AC17" s="205">
        <f t="shared" si="16"/>
        <v>880.00000000000011</v>
      </c>
      <c r="AD17" s="205">
        <f t="shared" si="11"/>
        <v>47.708536310841325</v>
      </c>
      <c r="AE17" s="205">
        <f t="shared" si="17"/>
        <v>927.70853631084151</v>
      </c>
      <c r="AF17" s="7">
        <f t="shared" si="20"/>
        <v>0</v>
      </c>
      <c r="AH17" s="7" t="s">
        <v>340</v>
      </c>
      <c r="AI17" s="25">
        <f>O78/(O11+O26+O30+O78+O98)</f>
        <v>0.87186322668102634</v>
      </c>
      <c r="AJ17" s="25"/>
      <c r="AK17" s="9"/>
      <c r="AL17" s="20"/>
      <c r="AS17" s="7" t="s">
        <v>101</v>
      </c>
      <c r="AV17" s="52">
        <f>(AV15/inputs!$L$40)*inputs!L39</f>
        <v>2.83203125E-2</v>
      </c>
      <c r="AW17" s="52"/>
      <c r="AX17" s="59"/>
      <c r="AY17" s="59"/>
      <c r="AZ17" s="52">
        <f>AW17-$AV17</f>
        <v>-2.83203125E-2</v>
      </c>
      <c r="BA17" s="11"/>
      <c r="BB17" s="11"/>
      <c r="BC17" s="22">
        <v>0</v>
      </c>
      <c r="BD17" s="15">
        <v>8</v>
      </c>
      <c r="BE17" s="23">
        <f t="shared" si="7"/>
        <v>0</v>
      </c>
      <c r="BF17" s="52">
        <f>AZ17+AW17*$BC17/12</f>
        <v>-2.83203125E-2</v>
      </c>
      <c r="BG17" s="57"/>
      <c r="BH17" s="57"/>
      <c r="BJ17" s="53">
        <v>1000000</v>
      </c>
      <c r="BK17" s="20"/>
      <c r="BL17" s="20"/>
    </row>
    <row r="18" spans="1:64" x14ac:dyDescent="0.25">
      <c r="A18" s="7">
        <v>9</v>
      </c>
      <c r="B18" s="181" t="s">
        <v>268</v>
      </c>
      <c r="D18" s="63">
        <v>4.95</v>
      </c>
      <c r="E18" s="63">
        <v>1.1000000000000001</v>
      </c>
      <c r="F18" s="180">
        <v>2100</v>
      </c>
      <c r="G18" s="185">
        <v>0.23</v>
      </c>
      <c r="H18" s="4">
        <v>0</v>
      </c>
      <c r="I18" s="48">
        <f>inputs!$B$11*H18/(0.65*G18^2)</f>
        <v>0</v>
      </c>
      <c r="J18" s="48">
        <f t="shared" si="18"/>
        <v>0</v>
      </c>
      <c r="K18" s="48">
        <f t="shared" si="12"/>
        <v>0</v>
      </c>
      <c r="L18" s="5">
        <f t="shared" si="8"/>
        <v>5317.3828125</v>
      </c>
      <c r="M18" s="50">
        <f t="shared" si="13"/>
        <v>0</v>
      </c>
      <c r="N18" s="9">
        <f t="shared" si="19"/>
        <v>0</v>
      </c>
      <c r="O18" s="9">
        <f t="shared" si="14"/>
        <v>0</v>
      </c>
      <c r="P18" s="9"/>
      <c r="Q18" s="9"/>
      <c r="R18" s="9"/>
      <c r="T18" s="9">
        <f>(W18*inputs!$F$11/inputs!$F$6/24)/(1+$AI$28)</f>
        <v>0.3440816935069444</v>
      </c>
      <c r="U18" s="9">
        <f>IF(I18=0,0,(0.5*T18)/(inputs!$G$11))</f>
        <v>0</v>
      </c>
      <c r="V18" s="9">
        <f>IF(I18=0,0,(0.5*T18*I18)/((1-inputs!$G$11)*I18))</f>
        <v>0</v>
      </c>
      <c r="W18" s="9">
        <f t="shared" si="15"/>
        <v>5.1927566528320313</v>
      </c>
      <c r="X18" s="188"/>
      <c r="Y18" s="19">
        <f>inputs!$L$54</f>
        <v>0.55000000000000004</v>
      </c>
      <c r="Z18" s="7">
        <f>inputs!$K$54</f>
        <v>1450</v>
      </c>
      <c r="AA18" s="205">
        <f t="shared" si="9"/>
        <v>744.65616985014458</v>
      </c>
      <c r="AB18" s="205">
        <f t="shared" si="10"/>
        <v>96.079691181555461</v>
      </c>
      <c r="AC18" s="205">
        <f t="shared" si="16"/>
        <v>797.50000000000011</v>
      </c>
      <c r="AD18" s="205">
        <f t="shared" si="11"/>
        <v>43.235861031699947</v>
      </c>
      <c r="AE18" s="205">
        <f t="shared" si="17"/>
        <v>840.7358610317001</v>
      </c>
      <c r="AF18" s="7">
        <f t="shared" si="20"/>
        <v>0</v>
      </c>
      <c r="AR18" s="7" t="s">
        <v>32</v>
      </c>
      <c r="AS18" s="7" t="s">
        <v>102</v>
      </c>
      <c r="AV18" s="52">
        <f>K98+K78</f>
        <v>124</v>
      </c>
      <c r="AW18" s="52"/>
      <c r="AX18" s="59"/>
      <c r="AY18" s="59"/>
      <c r="AZ18" s="52">
        <f>AW18-$AV18</f>
        <v>-124</v>
      </c>
      <c r="BA18" s="11"/>
      <c r="BB18" s="11"/>
      <c r="BC18" s="22">
        <v>0</v>
      </c>
      <c r="BD18" s="15">
        <v>8</v>
      </c>
      <c r="BE18" s="23">
        <f t="shared" si="7"/>
        <v>0</v>
      </c>
      <c r="BF18" s="52">
        <f>AZ18+AW18*$BC18/12</f>
        <v>-124</v>
      </c>
      <c r="BG18" s="57"/>
      <c r="BH18" s="57"/>
      <c r="BJ18" s="53">
        <v>60000</v>
      </c>
      <c r="BK18" s="20"/>
      <c r="BL18" s="20"/>
    </row>
    <row r="19" spans="1:64" x14ac:dyDescent="0.25">
      <c r="A19" s="7">
        <v>10</v>
      </c>
      <c r="B19" s="181" t="s">
        <v>264</v>
      </c>
      <c r="D19" s="7">
        <f>2*D14</f>
        <v>9.9</v>
      </c>
      <c r="E19" s="7">
        <v>1.1000000000000001</v>
      </c>
      <c r="F19" s="180">
        <v>2100</v>
      </c>
      <c r="G19" s="185">
        <v>0.23</v>
      </c>
      <c r="H19" s="4">
        <v>0</v>
      </c>
      <c r="I19" s="48">
        <f>inputs!$B$11*H19/(0.65*G19^2)</f>
        <v>0</v>
      </c>
      <c r="J19" s="48">
        <f t="shared" si="18"/>
        <v>0</v>
      </c>
      <c r="K19" s="48">
        <f t="shared" si="12"/>
        <v>0</v>
      </c>
      <c r="L19" s="5">
        <f t="shared" si="8"/>
        <v>10634.765625</v>
      </c>
      <c r="M19" s="50">
        <f t="shared" si="13"/>
        <v>0</v>
      </c>
      <c r="N19" s="9">
        <f t="shared" si="19"/>
        <v>0</v>
      </c>
      <c r="O19" s="9">
        <f t="shared" si="14"/>
        <v>0</v>
      </c>
      <c r="P19" s="9"/>
      <c r="Q19" s="9"/>
      <c r="R19" s="9"/>
      <c r="T19" s="9">
        <f>(W19*inputs!$F$11/inputs!$F$6/24)/(1+$AI$28)</f>
        <v>0.68816338701388879</v>
      </c>
      <c r="U19" s="9">
        <f>IF(I19=0,0,(0.5*T19)/(inputs!$G$11))</f>
        <v>0</v>
      </c>
      <c r="V19" s="9">
        <f>IF(I19=0,0,(0.5*T19*I19)/((1-inputs!$G$11)*I19))</f>
        <v>0</v>
      </c>
      <c r="W19" s="9">
        <f t="shared" si="15"/>
        <v>10.385513305664063</v>
      </c>
      <c r="X19" s="188"/>
      <c r="Y19" s="19">
        <f>inputs!$L$55</f>
        <v>0.55000000000000004</v>
      </c>
      <c r="Z19" s="7">
        <f>inputs!$K$55</f>
        <v>1500</v>
      </c>
      <c r="AA19" s="205">
        <f t="shared" si="9"/>
        <v>770.33396881049441</v>
      </c>
      <c r="AB19" s="205">
        <f t="shared" si="10"/>
        <v>99.392783980919447</v>
      </c>
      <c r="AC19" s="205">
        <f t="shared" si="16"/>
        <v>825.00000000000011</v>
      </c>
      <c r="AD19" s="205">
        <f t="shared" si="11"/>
        <v>44.726752791413745</v>
      </c>
      <c r="AE19" s="205">
        <f t="shared" si="17"/>
        <v>869.7267527914139</v>
      </c>
      <c r="AF19" s="7">
        <f t="shared" si="20"/>
        <v>0</v>
      </c>
      <c r="AO19" s="189"/>
      <c r="AP19" s="20"/>
      <c r="AS19" s="7" t="s">
        <v>287</v>
      </c>
      <c r="AV19" s="52">
        <v>0</v>
      </c>
      <c r="AW19" s="225" t="s">
        <v>362</v>
      </c>
      <c r="AX19" s="7">
        <v>129.9</v>
      </c>
      <c r="BJ19" s="53">
        <v>10000</v>
      </c>
    </row>
    <row r="20" spans="1:64" x14ac:dyDescent="0.25">
      <c r="A20" s="7">
        <v>11</v>
      </c>
      <c r="B20" s="181" t="s">
        <v>267</v>
      </c>
      <c r="D20" s="63">
        <f>3*D14</f>
        <v>14.850000000000001</v>
      </c>
      <c r="E20" s="63">
        <v>1.1000000000000001</v>
      </c>
      <c r="F20" s="179">
        <v>2100</v>
      </c>
      <c r="G20" s="185">
        <v>0.23</v>
      </c>
      <c r="H20" s="4">
        <v>0</v>
      </c>
      <c r="I20" s="48">
        <f>inputs!$B$11*H20/(0.65*G20^2)</f>
        <v>0</v>
      </c>
      <c r="J20" s="48">
        <f t="shared" si="18"/>
        <v>0</v>
      </c>
      <c r="K20" s="48">
        <f t="shared" si="12"/>
        <v>0</v>
      </c>
      <c r="L20" s="5">
        <f t="shared" si="8"/>
        <v>15952.148437500004</v>
      </c>
      <c r="M20" s="50">
        <f t="shared" si="13"/>
        <v>0</v>
      </c>
      <c r="N20" s="9">
        <f t="shared" si="19"/>
        <v>0</v>
      </c>
      <c r="O20" s="9">
        <f t="shared" si="14"/>
        <v>0</v>
      </c>
      <c r="P20" s="9"/>
      <c r="Q20" s="9"/>
      <c r="R20" s="9"/>
      <c r="T20" s="9">
        <f>(W20*inputs!$F$11/inputs!$F$6/24)/(1+$AI$28)</f>
        <v>1.0322450805208332</v>
      </c>
      <c r="U20" s="9">
        <f>IF(I20=0,0,(0.5*T20)/(inputs!$G$11))</f>
        <v>0</v>
      </c>
      <c r="V20" s="9">
        <f>IF(I20=0,0,(0.5*T20*I20)/((1-inputs!$G$11)*I20))</f>
        <v>0</v>
      </c>
      <c r="W20" s="9">
        <f t="shared" si="15"/>
        <v>15.578269958496097</v>
      </c>
      <c r="X20" s="188"/>
      <c r="Y20" s="19">
        <f>inputs!$L$56</f>
        <v>0.55000000000000004</v>
      </c>
      <c r="Z20" s="7">
        <f>inputs!$K$56</f>
        <v>1550</v>
      </c>
      <c r="AA20" s="205">
        <f t="shared" si="9"/>
        <v>796.01176777084424</v>
      </c>
      <c r="AB20" s="205">
        <f t="shared" si="10"/>
        <v>102.70587678028342</v>
      </c>
      <c r="AC20" s="205">
        <f t="shared" si="16"/>
        <v>852.50000000000011</v>
      </c>
      <c r="AD20" s="205">
        <f t="shared" si="11"/>
        <v>46.217644551127535</v>
      </c>
      <c r="AE20" s="205">
        <f t="shared" si="17"/>
        <v>898.71764455112771</v>
      </c>
      <c r="AF20" s="7">
        <f t="shared" si="20"/>
        <v>0</v>
      </c>
      <c r="AH20" s="7" t="s">
        <v>192</v>
      </c>
      <c r="AK20" s="20" t="s">
        <v>342</v>
      </c>
      <c r="AV20" s="20">
        <f>AV12+AV15+AV18</f>
        <v>183</v>
      </c>
      <c r="AW20" s="11"/>
      <c r="AX20" s="11"/>
      <c r="AY20" s="11"/>
      <c r="AZ20" s="22"/>
      <c r="BI20" s="7" t="str">
        <f>AS39</f>
        <v>RAN transmission</v>
      </c>
      <c r="BJ20" s="7">
        <v>800</v>
      </c>
    </row>
    <row r="21" spans="1:64" x14ac:dyDescent="0.25">
      <c r="A21" s="7">
        <v>12</v>
      </c>
      <c r="B21" s="181" t="s">
        <v>243</v>
      </c>
      <c r="D21" s="63">
        <f>4*D14</f>
        <v>19.8</v>
      </c>
      <c r="E21" s="63">
        <v>1.1000000000000001</v>
      </c>
      <c r="F21" s="179">
        <v>2100</v>
      </c>
      <c r="G21" s="185">
        <v>0.23</v>
      </c>
      <c r="H21" s="4">
        <v>0</v>
      </c>
      <c r="I21" s="48">
        <f>inputs!$B$11*H21/(0.65*G21^2)</f>
        <v>0</v>
      </c>
      <c r="J21" s="48">
        <f t="shared" si="18"/>
        <v>0</v>
      </c>
      <c r="K21" s="48">
        <f t="shared" si="12"/>
        <v>0</v>
      </c>
      <c r="L21" s="5">
        <f t="shared" si="8"/>
        <v>21269.53125</v>
      </c>
      <c r="M21" s="50">
        <f t="shared" si="13"/>
        <v>0</v>
      </c>
      <c r="N21" s="9">
        <f t="shared" si="19"/>
        <v>0</v>
      </c>
      <c r="O21" s="9">
        <f t="shared" si="14"/>
        <v>0</v>
      </c>
      <c r="P21" s="9"/>
      <c r="Q21" s="9"/>
      <c r="R21" s="9"/>
      <c r="T21" s="9">
        <f>(W21*inputs!$F$11/inputs!$F$6/24)/(1+$AI$28)</f>
        <v>1.3763267740277776</v>
      </c>
      <c r="U21" s="9">
        <f>IF(I21=0,0,(0.5*T21)/(inputs!$G$11))</f>
        <v>0</v>
      </c>
      <c r="V21" s="9">
        <f>IF(I21=0,0,(0.5*T21*I21)/((1-inputs!$G$11)*I21))</f>
        <v>0</v>
      </c>
      <c r="W21" s="9">
        <f t="shared" si="15"/>
        <v>20.771026611328125</v>
      </c>
      <c r="X21" s="188"/>
      <c r="Y21" s="19">
        <f>inputs!$L$57</f>
        <v>0.55000000000000004</v>
      </c>
      <c r="Z21" s="7">
        <f>inputs!$K$57</f>
        <v>1600</v>
      </c>
      <c r="AA21" s="205">
        <f t="shared" si="9"/>
        <v>821.68956673119408</v>
      </c>
      <c r="AB21" s="205">
        <f t="shared" si="10"/>
        <v>106.0189695796474</v>
      </c>
      <c r="AC21" s="205">
        <f t="shared" si="16"/>
        <v>880.00000000000011</v>
      </c>
      <c r="AD21" s="205">
        <f t="shared" si="11"/>
        <v>47.708536310841325</v>
      </c>
      <c r="AE21" s="205">
        <f t="shared" si="17"/>
        <v>927.70853631084151</v>
      </c>
      <c r="AF21" s="7">
        <f t="shared" si="20"/>
        <v>0</v>
      </c>
      <c r="AH21" s="7" t="s">
        <v>190</v>
      </c>
      <c r="AK21" s="7" t="s">
        <v>194</v>
      </c>
      <c r="AL21" s="7" t="s">
        <v>195</v>
      </c>
      <c r="AM21" s="20" t="s">
        <v>191</v>
      </c>
      <c r="AN21" s="20"/>
      <c r="AQ21" s="76" t="s">
        <v>58</v>
      </c>
      <c r="AR21" s="77"/>
      <c r="AS21" s="77"/>
      <c r="AT21" s="77"/>
      <c r="AU21" s="77"/>
      <c r="AV21" s="77"/>
      <c r="AW21" s="77"/>
      <c r="AX21" s="77"/>
      <c r="AY21" s="125"/>
      <c r="AZ21" s="22"/>
      <c r="BI21" s="7" t="str">
        <f>AS42</f>
        <v>RAN_to_core_transmission</v>
      </c>
      <c r="BJ21" s="7">
        <v>300</v>
      </c>
    </row>
    <row r="22" spans="1:64" x14ac:dyDescent="0.25">
      <c r="A22" s="7">
        <v>13</v>
      </c>
      <c r="B22" s="181" t="s">
        <v>269</v>
      </c>
      <c r="D22" s="63">
        <v>4.95</v>
      </c>
      <c r="E22" s="63">
        <v>1.2</v>
      </c>
      <c r="F22" s="184">
        <v>2100</v>
      </c>
      <c r="G22" s="185">
        <v>0.23</v>
      </c>
      <c r="H22" s="4">
        <v>0</v>
      </c>
      <c r="I22" s="48">
        <f>inputs!$B$11*H22/(0.65*G22^2)</f>
        <v>0</v>
      </c>
      <c r="J22" s="48">
        <f t="shared" si="18"/>
        <v>0</v>
      </c>
      <c r="K22" s="48">
        <f t="shared" si="12"/>
        <v>0</v>
      </c>
      <c r="L22" s="5">
        <f t="shared" si="8"/>
        <v>5800.78125</v>
      </c>
      <c r="M22" s="50">
        <f t="shared" si="13"/>
        <v>0</v>
      </c>
      <c r="N22" s="9">
        <f t="shared" si="19"/>
        <v>0</v>
      </c>
      <c r="O22" s="9">
        <f t="shared" si="14"/>
        <v>0</v>
      </c>
      <c r="P22" s="9"/>
      <c r="Q22" s="9"/>
      <c r="R22" s="9"/>
      <c r="T22" s="9">
        <f>(W22*inputs!$F$11/inputs!$F$6/24)/(1+$AI$28)</f>
        <v>0.37536184746212115</v>
      </c>
      <c r="U22" s="9">
        <f>IF(I22=0,0,(0.5*T22)/(inputs!$G$11))</f>
        <v>0</v>
      </c>
      <c r="V22" s="9">
        <f>IF(I22=0,0,(0.5*T22*I22)/((1-inputs!$G$11)*I22))</f>
        <v>0</v>
      </c>
      <c r="W22" s="9">
        <f t="shared" si="15"/>
        <v>5.664825439453125</v>
      </c>
      <c r="X22" s="188"/>
      <c r="Y22" s="19">
        <f>inputs!$L$54</f>
        <v>0.55000000000000004</v>
      </c>
      <c r="Z22" s="7">
        <f>inputs!$K$54</f>
        <v>1450</v>
      </c>
      <c r="AA22" s="205">
        <f t="shared" si="9"/>
        <v>744.65616985014458</v>
      </c>
      <c r="AB22" s="205">
        <f t="shared" si="10"/>
        <v>96.079691181555461</v>
      </c>
      <c r="AC22" s="205">
        <f t="shared" si="16"/>
        <v>797.50000000000011</v>
      </c>
      <c r="AD22" s="205">
        <f t="shared" si="11"/>
        <v>43.235861031699947</v>
      </c>
      <c r="AE22" s="205">
        <f t="shared" si="17"/>
        <v>840.7358610317001</v>
      </c>
      <c r="AF22" s="7">
        <f t="shared" si="20"/>
        <v>0</v>
      </c>
      <c r="AH22" s="7" t="s">
        <v>25</v>
      </c>
      <c r="AI22" s="9">
        <f>$AI$11*AI14</f>
        <v>0.79159112647175778</v>
      </c>
      <c r="AJ22" s="7" t="s">
        <v>36</v>
      </c>
      <c r="AK22" s="7">
        <f>AI22/(1+inputs!F16)</f>
        <v>0.71962829679250706</v>
      </c>
      <c r="AL22" s="7">
        <f>AK22*inputs!F6/30</f>
        <v>2.8785131871700283E-3</v>
      </c>
      <c r="AM22" s="7">
        <f>AL22/inputs!F11</f>
        <v>9.5950439572334272E-3</v>
      </c>
      <c r="AN22" s="7">
        <f>AK22/inputs!$F$11</f>
        <v>2.3987609893083568</v>
      </c>
      <c r="AQ22" s="75"/>
      <c r="AR22" s="63"/>
      <c r="AS22" s="63"/>
      <c r="AT22" s="63"/>
      <c r="AU22" s="63" t="s">
        <v>197</v>
      </c>
      <c r="AV22" s="51" t="s">
        <v>144</v>
      </c>
      <c r="AW22" s="132"/>
      <c r="AX22" s="132"/>
      <c r="AY22" s="173"/>
      <c r="AZ22" s="22" t="s">
        <v>390</v>
      </c>
      <c r="BA22" s="7" t="s">
        <v>391</v>
      </c>
      <c r="BB22" s="7" t="s">
        <v>392</v>
      </c>
      <c r="BC22" s="7" t="s">
        <v>393</v>
      </c>
      <c r="BD22" s="7" t="s">
        <v>394</v>
      </c>
      <c r="BI22" s="7" t="str">
        <f>AS45</f>
        <v>core_transmission</v>
      </c>
      <c r="BJ22" s="7">
        <v>200</v>
      </c>
    </row>
    <row r="23" spans="1:64" x14ac:dyDescent="0.25">
      <c r="A23" s="7">
        <v>14</v>
      </c>
      <c r="B23" s="181" t="s">
        <v>244</v>
      </c>
      <c r="D23" s="63">
        <f>2*D14</f>
        <v>9.9</v>
      </c>
      <c r="E23" s="63">
        <v>1.2</v>
      </c>
      <c r="F23" s="179">
        <v>2100</v>
      </c>
      <c r="G23" s="185">
        <v>0.23</v>
      </c>
      <c r="H23" s="4">
        <v>0</v>
      </c>
      <c r="I23" s="48">
        <f>inputs!$B$11*H23/(0.65*G23^2)</f>
        <v>0</v>
      </c>
      <c r="J23" s="48">
        <f t="shared" si="18"/>
        <v>0</v>
      </c>
      <c r="K23" s="48">
        <f t="shared" si="12"/>
        <v>0</v>
      </c>
      <c r="L23" s="5">
        <f t="shared" si="8"/>
        <v>11601.5625</v>
      </c>
      <c r="M23" s="50">
        <f t="shared" si="13"/>
        <v>0</v>
      </c>
      <c r="N23" s="9">
        <f t="shared" si="19"/>
        <v>0</v>
      </c>
      <c r="O23" s="9">
        <f t="shared" si="14"/>
        <v>0</v>
      </c>
      <c r="P23" s="9"/>
      <c r="Q23" s="9"/>
      <c r="R23" s="9"/>
      <c r="T23" s="9">
        <f>(W23*inputs!$F$11/inputs!$F$6/24)/(1+$AI$28)</f>
        <v>0.75072369492424229</v>
      </c>
      <c r="U23" s="9">
        <f>IF(I23=0,0,(0.5*T23)/(inputs!$G$11))</f>
        <v>0</v>
      </c>
      <c r="V23" s="9">
        <f>IF(I23=0,0,(0.5*T23*I23)/((1-inputs!$G$11)*I23))</f>
        <v>0</v>
      </c>
      <c r="W23" s="9">
        <f t="shared" si="15"/>
        <v>11.32965087890625</v>
      </c>
      <c r="X23" s="188"/>
      <c r="Y23" s="19">
        <f>inputs!$L$55</f>
        <v>0.55000000000000004</v>
      </c>
      <c r="Z23" s="7">
        <f>inputs!$K$55</f>
        <v>1500</v>
      </c>
      <c r="AA23" s="205">
        <f t="shared" si="9"/>
        <v>770.33396881049441</v>
      </c>
      <c r="AB23" s="205">
        <f t="shared" si="10"/>
        <v>99.392783980919447</v>
      </c>
      <c r="AC23" s="205">
        <f t="shared" si="16"/>
        <v>825.00000000000011</v>
      </c>
      <c r="AD23" s="205">
        <f t="shared" si="11"/>
        <v>44.726752791413745</v>
      </c>
      <c r="AE23" s="205">
        <f t="shared" si="17"/>
        <v>869.7267527914139</v>
      </c>
      <c r="AF23" s="7">
        <f t="shared" si="20"/>
        <v>0</v>
      </c>
      <c r="AH23" s="7" t="s">
        <v>27</v>
      </c>
      <c r="AI23" s="9">
        <f>$AI$11*AI15</f>
        <v>20.658096673287218</v>
      </c>
      <c r="AJ23" s="7" t="s">
        <v>36</v>
      </c>
      <c r="AK23" s="7">
        <f>AI23/(1+inputs!F16)</f>
        <v>18.780087884806562</v>
      </c>
      <c r="AL23" s="7">
        <f>AK23*inputs!F6/30</f>
        <v>7.5120351539226249E-2</v>
      </c>
      <c r="AM23" s="7">
        <f>AL23/inputs!F11</f>
        <v>0.25040117179742083</v>
      </c>
      <c r="AN23" s="7">
        <f>AK23/inputs!$F$11</f>
        <v>62.600292949355207</v>
      </c>
      <c r="AQ23" s="75"/>
      <c r="AR23" s="63"/>
      <c r="AS23" s="224" t="s">
        <v>91</v>
      </c>
      <c r="AT23" s="63"/>
      <c r="AU23" s="106">
        <f t="shared" ref="AU23:AU37" si="21">IF(AV5&lt;0,0,BJ5*AV5)</f>
        <v>0</v>
      </c>
      <c r="AV23" s="65">
        <f t="shared" ref="AV23:AV28" si="22">IF(BE5&lt;0,0,$BJ5*BE5)</f>
        <v>0</v>
      </c>
      <c r="AX23" s="133"/>
      <c r="AY23" s="134"/>
      <c r="AZ23" s="14">
        <f>AU23/($AU$23+$AU$24+$AU$25+$AU$26+$AU$27+$AU$28+$AU$30+$AU$31+$AU$33+$AU$35+$AU$36+$AU$38+$AU$39+$AU$40)</f>
        <v>0</v>
      </c>
      <c r="BC23" s="66">
        <f>AU23/($AU$48+$AU$40+$AU$43+$AU$23+$AU$24+$AU$25+$AU$26+$AU$27+$AU$28+$AU$30+$AU$31+$AU$33+$AU$35+$AU$36+$AU$39+$AU$42+$AU$45+$AU$38+$AU$46+$AU$47)</f>
        <v>0</v>
      </c>
      <c r="BD23" s="66">
        <f>AU23/($AU$23+$AU$24+$AU$25+$AU$26+$AU$27+$AU$28+$AU$30+$AU$31+$AU$33+$AU$35+$AU$36+$AU$38+$AU$39+$AU$40+$AU$42+$AU$43+$AU$45+$AU$46+$AU$47+$AU$48+$AU$50+$AU$51)</f>
        <v>0</v>
      </c>
      <c r="BI23" s="7" t="s">
        <v>381</v>
      </c>
      <c r="BJ23" s="7">
        <v>3000000</v>
      </c>
      <c r="BK23" s="7" t="s">
        <v>382</v>
      </c>
      <c r="BL23" s="7">
        <v>10000</v>
      </c>
    </row>
    <row r="24" spans="1:64" x14ac:dyDescent="0.25">
      <c r="A24" s="7">
        <v>15</v>
      </c>
      <c r="B24" s="181" t="s">
        <v>270</v>
      </c>
      <c r="D24" s="63">
        <f>3*D14</f>
        <v>14.850000000000001</v>
      </c>
      <c r="E24" s="63">
        <v>1.2</v>
      </c>
      <c r="F24" s="179">
        <v>2100</v>
      </c>
      <c r="G24" s="185">
        <v>0.23</v>
      </c>
      <c r="H24" s="4">
        <v>0</v>
      </c>
      <c r="I24" s="48">
        <f>inputs!$B$11*H24/(0.65*G24^2)</f>
        <v>0</v>
      </c>
      <c r="J24" s="48">
        <f t="shared" si="18"/>
        <v>0</v>
      </c>
      <c r="K24" s="48">
        <f t="shared" si="12"/>
        <v>0</v>
      </c>
      <c r="L24" s="5">
        <f t="shared" si="8"/>
        <v>17402.34375</v>
      </c>
      <c r="M24" s="50">
        <f t="shared" si="13"/>
        <v>0</v>
      </c>
      <c r="N24" s="9">
        <f t="shared" si="19"/>
        <v>0</v>
      </c>
      <c r="O24" s="9">
        <f t="shared" si="14"/>
        <v>0</v>
      </c>
      <c r="P24" s="9"/>
      <c r="Q24" s="9"/>
      <c r="R24" s="9"/>
      <c r="T24" s="9">
        <f>(W24*inputs!$F$11/inputs!$F$6/24)/(1+$AI$28)</f>
        <v>1.1260855423863634</v>
      </c>
      <c r="U24" s="9">
        <f>IF(I24=0,0,(0.5*T24)/(inputs!$G$11))</f>
        <v>0</v>
      </c>
      <c r="V24" s="9">
        <f>IF(I24=0,0,(0.5*T24*I24)/((1-inputs!$G$11)*I24))</f>
        <v>0</v>
      </c>
      <c r="W24" s="9">
        <f t="shared" si="15"/>
        <v>16.994476318359375</v>
      </c>
      <c r="X24" s="188"/>
      <c r="Y24" s="19">
        <f>inputs!$L$56</f>
        <v>0.55000000000000004</v>
      </c>
      <c r="Z24" s="7">
        <f>inputs!$K$56</f>
        <v>1550</v>
      </c>
      <c r="AA24" s="205">
        <f t="shared" si="9"/>
        <v>796.01176777084424</v>
      </c>
      <c r="AB24" s="205">
        <f t="shared" si="10"/>
        <v>102.70587678028342</v>
      </c>
      <c r="AC24" s="205">
        <f t="shared" si="16"/>
        <v>852.50000000000011</v>
      </c>
      <c r="AD24" s="205">
        <f t="shared" si="11"/>
        <v>46.217644551127535</v>
      </c>
      <c r="AE24" s="205">
        <f t="shared" si="17"/>
        <v>898.71764455112771</v>
      </c>
      <c r="AF24" s="7">
        <f t="shared" si="20"/>
        <v>0</v>
      </c>
      <c r="AH24" s="7" t="s">
        <v>341</v>
      </c>
      <c r="AI24" s="9">
        <f>$AI$11*AI16</f>
        <v>143.79834283317902</v>
      </c>
      <c r="AJ24" s="7" t="s">
        <v>36</v>
      </c>
      <c r="AK24" s="7">
        <f>AI24/(1+inputs!F16)</f>
        <v>130.72576621198093</v>
      </c>
      <c r="AL24" s="7">
        <f>AK24*inputs!F6/30</f>
        <v>0.5229030648479237</v>
      </c>
      <c r="AM24" s="7">
        <f>AL24/inputs!F11</f>
        <v>1.7430102161597458</v>
      </c>
      <c r="AN24" s="7">
        <f>AK24/inputs!$F$11</f>
        <v>435.75255403993646</v>
      </c>
      <c r="AQ24" s="75"/>
      <c r="AR24" s="63"/>
      <c r="AS24" s="224" t="s">
        <v>92</v>
      </c>
      <c r="AT24" s="63"/>
      <c r="AU24" s="135">
        <f>IF(AV6&lt;0,0,BJ6*AV6)</f>
        <v>275000</v>
      </c>
      <c r="AV24" s="65">
        <f t="shared" si="22"/>
        <v>0</v>
      </c>
      <c r="AX24" s="133"/>
      <c r="AY24" s="134"/>
      <c r="AZ24" s="14">
        <f t="shared" ref="AZ24:AZ40" si="23">AU24/($AU$23+$AU$24+$AU$25+$AU$26+$AU$27+$AU$28+$AU$30+$AU$31+$AU$33+$AU$35+$AU$36+$AU$38+$AU$39+$AU$40)</f>
        <v>1.5809188902270285E-2</v>
      </c>
      <c r="BC24" s="66">
        <f>AU24/($AU$40+$AU$43+$AU$23+$AU$24+$AU$25+$AU$26+$AU$27+$AU$28+$AU$30+$AU$31+$AU$33+$AU$35+$AU$36+$AU$39+$AU$42+$AU$45+$AU$38+$AU$46+$AU$47)</f>
        <v>1.4317999274179264E-2</v>
      </c>
      <c r="BD24" s="66">
        <f t="shared" ref="BD24:BD51" si="24">AU24/($AU$23+$AU$24+$AU$25+$AU$26+$AU$27+$AU$28+$AU$30+$AU$31+$AU$33+$AU$35+$AU$36+$AU$38+$AU$39+$AU$40+$AU$42+$AU$43+$AU$45+$AU$46+$AU$47+$AU$48+$AU$50+$AU$51)</f>
        <v>1.4222760035064352E-2</v>
      </c>
      <c r="BI24" s="7" t="s">
        <v>383</v>
      </c>
      <c r="BJ24" s="7">
        <v>10000000</v>
      </c>
      <c r="BK24" s="7" t="s">
        <v>382</v>
      </c>
      <c r="BL24" s="7">
        <v>40000</v>
      </c>
    </row>
    <row r="25" spans="1:64" x14ac:dyDescent="0.25">
      <c r="A25" s="7">
        <v>16</v>
      </c>
      <c r="B25" s="181" t="s">
        <v>245</v>
      </c>
      <c r="D25" s="63">
        <f>4*D14</f>
        <v>19.8</v>
      </c>
      <c r="E25" s="63">
        <v>1.2</v>
      </c>
      <c r="F25" s="179">
        <v>2100</v>
      </c>
      <c r="G25" s="185">
        <v>0.23</v>
      </c>
      <c r="H25" s="4">
        <v>0</v>
      </c>
      <c r="I25" s="48">
        <f>inputs!$B$11*H25/(0.65*G25^2)</f>
        <v>0</v>
      </c>
      <c r="J25" s="48">
        <f t="shared" si="18"/>
        <v>0</v>
      </c>
      <c r="K25" s="48">
        <f t="shared" si="12"/>
        <v>0</v>
      </c>
      <c r="L25" s="5">
        <f t="shared" si="8"/>
        <v>23203.125</v>
      </c>
      <c r="M25" s="50">
        <f t="shared" si="13"/>
        <v>0</v>
      </c>
      <c r="N25" s="9">
        <f t="shared" si="19"/>
        <v>0</v>
      </c>
      <c r="O25" s="9">
        <f t="shared" si="14"/>
        <v>0</v>
      </c>
      <c r="P25" s="9"/>
      <c r="Q25" s="9"/>
      <c r="R25" s="9"/>
      <c r="T25" s="9">
        <f>(W25*inputs!$F$11/inputs!$F$6/24)/(1+$AI$28)</f>
        <v>1.5014473898484846</v>
      </c>
      <c r="U25" s="9">
        <f>IF(I25=0,0,(0.5*T25)/(inputs!$G$11))</f>
        <v>0</v>
      </c>
      <c r="V25" s="9">
        <f>IF(I25=0,0,(0.5*T25*I25)/((1-inputs!$G$11)*I25))</f>
        <v>0</v>
      </c>
      <c r="W25" s="9">
        <f t="shared" si="15"/>
        <v>22.6593017578125</v>
      </c>
      <c r="X25" s="188"/>
      <c r="Y25" s="19">
        <f>inputs!$L$57</f>
        <v>0.55000000000000004</v>
      </c>
      <c r="Z25" s="7">
        <f>inputs!$K$57</f>
        <v>1600</v>
      </c>
      <c r="AA25" s="205">
        <f t="shared" si="9"/>
        <v>821.68956673119408</v>
      </c>
      <c r="AB25" s="205">
        <f t="shared" si="10"/>
        <v>106.0189695796474</v>
      </c>
      <c r="AC25" s="205">
        <f t="shared" si="16"/>
        <v>880.00000000000011</v>
      </c>
      <c r="AD25" s="205">
        <f t="shared" si="11"/>
        <v>47.708536310841325</v>
      </c>
      <c r="AE25" s="205">
        <f t="shared" si="17"/>
        <v>927.70853631084151</v>
      </c>
      <c r="AF25" s="7">
        <f t="shared" si="20"/>
        <v>0</v>
      </c>
      <c r="AH25" s="7" t="s">
        <v>340</v>
      </c>
      <c r="AI25" s="9">
        <f>$AI$11*AI17</f>
        <v>1124.3741937505542</v>
      </c>
      <c r="AJ25" s="7" t="s">
        <v>36</v>
      </c>
      <c r="AK25" s="7">
        <f>AI25/(1+inputs!F16)</f>
        <v>1022.1583579550493</v>
      </c>
      <c r="AL25" s="7">
        <f>AK25*inputs!F6/30</f>
        <v>4.0886334318201971</v>
      </c>
      <c r="AM25" s="7">
        <f>AL25/inputs!F11</f>
        <v>13.628778106067324</v>
      </c>
      <c r="AN25" s="7">
        <f>AK25/inputs!$F$11</f>
        <v>3407.194526516831</v>
      </c>
      <c r="AO25" s="189"/>
      <c r="AP25" s="20"/>
      <c r="AQ25" s="75"/>
      <c r="AR25" s="63"/>
      <c r="AS25" s="224" t="s">
        <v>93</v>
      </c>
      <c r="AT25" s="63"/>
      <c r="AU25" s="135">
        <f t="shared" si="21"/>
        <v>500000</v>
      </c>
      <c r="AV25" s="65">
        <f t="shared" si="22"/>
        <v>0</v>
      </c>
      <c r="AX25" s="133">
        <f>SUM(AU23:AU28)</f>
        <v>3016666.6666666665</v>
      </c>
      <c r="AY25" s="134"/>
      <c r="AZ25" s="14">
        <f t="shared" si="23"/>
        <v>2.8743979822309612E-2</v>
      </c>
      <c r="BC25" s="66">
        <f>AU25/($AU$40+$AU$43+$AU$23+$AU$24+$AU$25+$AU$26+$AU$27+$AU$28+$AU$30+$AU$31+$AU$33+$AU$35+$AU$36+$AU$39+$AU$42+$AU$45+$AU$38+$AU$46+$AU$47)</f>
        <v>2.6032725953053209E-2</v>
      </c>
      <c r="BD25" s="66">
        <f t="shared" si="24"/>
        <v>2.5859563700117001E-2</v>
      </c>
    </row>
    <row r="26" spans="1:64" x14ac:dyDescent="0.25">
      <c r="C26" s="63"/>
      <c r="D26" s="63"/>
      <c r="E26" s="179"/>
      <c r="F26" s="179"/>
      <c r="G26" s="63"/>
      <c r="H26" s="182">
        <v>1</v>
      </c>
      <c r="I26" s="49">
        <f>SUM(I14:I25)</f>
        <v>39.742038679656808</v>
      </c>
      <c r="J26" s="49">
        <f>SUM(J14:J25)</f>
        <v>40</v>
      </c>
      <c r="K26" s="49">
        <f>ROUNDUP(SUM(K14:K25),0)</f>
        <v>14</v>
      </c>
      <c r="L26" s="5"/>
      <c r="M26" s="49">
        <f>SUM(M14:M25)</f>
        <v>426357.421875</v>
      </c>
      <c r="N26" s="49">
        <f>SUM(N14:N25)</f>
        <v>416.36466979980469</v>
      </c>
      <c r="O26" s="49">
        <f>SUM(O14:O25)</f>
        <v>396.53778076171875</v>
      </c>
      <c r="P26" s="63"/>
      <c r="Q26" s="63"/>
      <c r="R26" s="63"/>
      <c r="T26" s="9"/>
      <c r="U26" s="9"/>
      <c r="V26" s="9"/>
      <c r="W26" s="9"/>
      <c r="X26" s="188"/>
      <c r="AA26" s="205"/>
      <c r="AB26" s="205"/>
      <c r="AC26" s="205"/>
      <c r="AD26" s="205"/>
      <c r="AE26" s="205"/>
      <c r="AH26" s="17"/>
      <c r="AI26" s="53">
        <f>AI22+AI23+AI24+AI25</f>
        <v>1289.6222243834923</v>
      </c>
      <c r="AJ26" s="196"/>
      <c r="AK26" s="53">
        <f>AK22+AK23+AK24+AK25</f>
        <v>1172.3838403486293</v>
      </c>
      <c r="AL26" s="53">
        <f>AL22+AL23+AL24+AL25</f>
        <v>4.6895353613945172</v>
      </c>
      <c r="AM26" s="53">
        <f>AM22+AM23+AM24+AM25</f>
        <v>15.631784537981725</v>
      </c>
      <c r="AN26" s="53">
        <f>AN22+AN23+AN24+AN25</f>
        <v>3907.9461344954311</v>
      </c>
      <c r="AO26" s="189"/>
      <c r="AP26" s="20"/>
      <c r="AQ26" s="75"/>
      <c r="AR26" s="63"/>
      <c r="AS26" s="224" t="s">
        <v>94</v>
      </c>
      <c r="AT26" s="63"/>
      <c r="AU26" s="135">
        <f t="shared" si="21"/>
        <v>2025000</v>
      </c>
      <c r="AV26" s="65">
        <f t="shared" si="22"/>
        <v>0</v>
      </c>
      <c r="AX26" s="133"/>
      <c r="AY26" s="134"/>
      <c r="AZ26" s="14">
        <f t="shared" si="23"/>
        <v>0.11641311828035393</v>
      </c>
      <c r="BB26" s="20"/>
      <c r="BC26" s="66">
        <f>AU26/($AU$40+$AU$43+$AU$23+$AU$24+$AU$25+$AU$26+$AU$27+$AU$28+$AU$30+$AU$31+$AU$33+$AU$35+$AU$36+$AU$39+$AU$42+$AU$45+$AU$38+$AU$46+$AU$47)</f>
        <v>0.1054325401098655</v>
      </c>
      <c r="BD26" s="66">
        <f t="shared" si="24"/>
        <v>0.10473123298547386</v>
      </c>
    </row>
    <row r="27" spans="1:64" x14ac:dyDescent="0.25">
      <c r="A27" s="7">
        <v>17</v>
      </c>
      <c r="B27" s="181" t="s">
        <v>271</v>
      </c>
      <c r="D27" s="63">
        <v>4.95</v>
      </c>
      <c r="E27" s="63">
        <v>0.9</v>
      </c>
      <c r="F27" s="179">
        <v>900</v>
      </c>
      <c r="G27" s="178">
        <v>0.4</v>
      </c>
      <c r="H27" s="4">
        <v>0.5</v>
      </c>
      <c r="I27" s="48">
        <f>inputs!$B$11*H27/(0.65*G27^2)</f>
        <v>43.269230769230759</v>
      </c>
      <c r="J27" s="48">
        <f t="shared" si="18"/>
        <v>44</v>
      </c>
      <c r="K27" s="48">
        <f>ROUNDUP(J27/3,0)</f>
        <v>15</v>
      </c>
      <c r="L27" s="5">
        <f>D27*1000000*E27/1024</f>
        <v>4350.5859375</v>
      </c>
      <c r="M27" s="50">
        <f>3*L27*K27</f>
        <v>195776.3671875</v>
      </c>
      <c r="N27" s="9">
        <f>M27/1024</f>
        <v>191.18785858154297</v>
      </c>
      <c r="O27" s="9">
        <f>J27*L27/1024</f>
        <v>186.93923950195313</v>
      </c>
      <c r="P27" s="9"/>
      <c r="Q27" s="9"/>
      <c r="R27" s="9"/>
      <c r="T27" s="9">
        <f>(W27*inputs!$F$11/inputs!$F$6/24)/(1+$AI$28)</f>
        <v>0.28152138559659085</v>
      </c>
      <c r="U27" s="9">
        <f>IF(I27=0,0,(0.5*T27)/(inputs!$G$11))</f>
        <v>0.93840461865530289</v>
      </c>
      <c r="V27" s="9">
        <f>IF(I27=0,0,(0.5*T27*I27)/((1-inputs!$G$11)*I27))</f>
        <v>0.16560081505681815</v>
      </c>
      <c r="W27" s="9">
        <f t="shared" si="15"/>
        <v>4.2486190795898438</v>
      </c>
      <c r="X27" s="188"/>
      <c r="Y27" s="19">
        <f>inputs!$L$54</f>
        <v>0.55000000000000004</v>
      </c>
      <c r="Z27" s="7">
        <f>inputs!$K$54</f>
        <v>1450</v>
      </c>
      <c r="AA27" s="205">
        <f>Y27*Z27*(1-$AK$52)</f>
        <v>744.65616985014458</v>
      </c>
      <c r="AB27" s="205">
        <f>Z27*$AK$52</f>
        <v>96.079691181555461</v>
      </c>
      <c r="AC27" s="205">
        <f>Y27*Z27</f>
        <v>797.50000000000011</v>
      </c>
      <c r="AD27" s="205">
        <f>(Z27-Y27*Z27)*$AK$52</f>
        <v>43.235861031699947</v>
      </c>
      <c r="AE27" s="205">
        <f>AA27+AB27</f>
        <v>840.7358610317001</v>
      </c>
      <c r="AF27" s="7">
        <f>(AE27*K27)*24*30/1000/1000/1000</f>
        <v>9.0799472991423616E-3</v>
      </c>
      <c r="AO27" s="189"/>
      <c r="AQ27" s="75"/>
      <c r="AR27" s="63"/>
      <c r="AS27" s="224" t="s">
        <v>95</v>
      </c>
      <c r="AT27" s="63"/>
      <c r="AU27" s="135">
        <f t="shared" si="21"/>
        <v>50000</v>
      </c>
      <c r="AV27" s="65">
        <f t="shared" si="22"/>
        <v>0</v>
      </c>
      <c r="AX27" s="133"/>
      <c r="AY27" s="134"/>
      <c r="AZ27" s="14">
        <f t="shared" si="23"/>
        <v>2.874397982230961E-3</v>
      </c>
      <c r="BC27" s="66">
        <f>AU27/($AU$40+$AU$43+$AU$23+$AU$24+$AU$25+$AU$26+$AU$27+$AU$28+$AU$30+$AU$31+$AU$33+$AU$35+$AU$36+$AU$39+$AU$42+$AU$45+$AU$38+$AU$46+$AU$47)</f>
        <v>2.6032725953053209E-3</v>
      </c>
      <c r="BD27" s="66">
        <f t="shared" si="24"/>
        <v>2.5859563700117E-3</v>
      </c>
    </row>
    <row r="28" spans="1:64" x14ac:dyDescent="0.25">
      <c r="A28" s="7">
        <v>18</v>
      </c>
      <c r="B28" s="181" t="s">
        <v>272</v>
      </c>
      <c r="D28" s="63">
        <v>4.95</v>
      </c>
      <c r="E28" s="63">
        <v>1.1000000000000001</v>
      </c>
      <c r="F28" s="179">
        <v>900</v>
      </c>
      <c r="G28" s="185">
        <v>0.4</v>
      </c>
      <c r="H28" s="4">
        <v>0</v>
      </c>
      <c r="I28" s="48">
        <f>inputs!$B$11*H28/(0.65*G28^2)</f>
        <v>0</v>
      </c>
      <c r="J28" s="48">
        <f t="shared" si="18"/>
        <v>0</v>
      </c>
      <c r="K28" s="48">
        <f>ROUNDUP(J28/3,0)</f>
        <v>0</v>
      </c>
      <c r="L28" s="5">
        <f>D28*1000000*E28/1024</f>
        <v>5317.3828125</v>
      </c>
      <c r="M28" s="50">
        <f>3*L28*K28</f>
        <v>0</v>
      </c>
      <c r="N28" s="9">
        <f>M28/1024</f>
        <v>0</v>
      </c>
      <c r="O28" s="9">
        <f>J28*L28/1024</f>
        <v>0</v>
      </c>
      <c r="P28" s="9"/>
      <c r="Q28" s="9"/>
      <c r="R28" s="9"/>
      <c r="T28" s="9">
        <f>(W28*inputs!$F$11/inputs!$F$6/24)/(1+$AI$28)</f>
        <v>0.3440816935069444</v>
      </c>
      <c r="U28" s="9">
        <f>IF(I28=0,0,(0.5*T28)/(inputs!$G$11))</f>
        <v>0</v>
      </c>
      <c r="V28" s="9">
        <f>IF(I28=0,0,(0.5*T28*I28)/((1-inputs!$G$11)*I28))</f>
        <v>0</v>
      </c>
      <c r="W28" s="9">
        <f t="shared" si="15"/>
        <v>5.1927566528320313</v>
      </c>
      <c r="X28" s="188"/>
      <c r="Y28" s="19">
        <f>inputs!$L$54</f>
        <v>0.55000000000000004</v>
      </c>
      <c r="Z28" s="7">
        <f>inputs!$K$54</f>
        <v>1450</v>
      </c>
      <c r="AA28" s="205">
        <f>Y28*Z28*(1-$AK$52)</f>
        <v>744.65616985014458</v>
      </c>
      <c r="AB28" s="205">
        <f>Z28*$AK$52</f>
        <v>96.079691181555461</v>
      </c>
      <c r="AC28" s="205">
        <f>Y28*Z28</f>
        <v>797.50000000000011</v>
      </c>
      <c r="AD28" s="205">
        <f>(Z28-Y28*Z28)*$AK$52</f>
        <v>43.235861031699947</v>
      </c>
      <c r="AE28" s="205">
        <f>AA28+AB28</f>
        <v>840.7358610317001</v>
      </c>
      <c r="AF28" s="7">
        <f t="shared" si="20"/>
        <v>0</v>
      </c>
      <c r="AH28" s="7" t="s">
        <v>338</v>
      </c>
      <c r="AI28" s="14">
        <f>-(AI37-AI26)/AI37</f>
        <v>0.57204571339902743</v>
      </c>
      <c r="AJ28" s="7">
        <f>AI37+AI37*AI28</f>
        <v>1289.6222243834923</v>
      </c>
      <c r="AQ28" s="75"/>
      <c r="AR28" s="63"/>
      <c r="AS28" s="224" t="s">
        <v>96</v>
      </c>
      <c r="AT28" s="63"/>
      <c r="AU28" s="135">
        <f t="shared" si="21"/>
        <v>166666.66666666669</v>
      </c>
      <c r="AV28" s="65">
        <f t="shared" si="22"/>
        <v>0</v>
      </c>
      <c r="AX28" s="133"/>
      <c r="AY28" s="134"/>
      <c r="AZ28" s="14">
        <f t="shared" si="23"/>
        <v>9.581326607436538E-3</v>
      </c>
      <c r="BC28" s="66">
        <f>AU28/($AU$40+$AU$43+$AU$23+$AU$24+$AU$25+$AU$26+$AU$27+$AU$28+$AU$30+$AU$31+$AU$33+$AU$35+$AU$36+$AU$39+$AU$42+$AU$45+$AU$38+$AU$46+$AU$47)</f>
        <v>8.677575317684403E-3</v>
      </c>
      <c r="BD28" s="66">
        <f t="shared" si="24"/>
        <v>8.6198545667056682E-3</v>
      </c>
    </row>
    <row r="29" spans="1:64" x14ac:dyDescent="0.25">
      <c r="A29" s="7">
        <v>19</v>
      </c>
      <c r="B29" s="181" t="s">
        <v>273</v>
      </c>
      <c r="D29" s="63">
        <v>4.95</v>
      </c>
      <c r="E29" s="63">
        <v>1.2</v>
      </c>
      <c r="F29" s="180">
        <v>900</v>
      </c>
      <c r="G29" s="185">
        <v>0.4</v>
      </c>
      <c r="H29" s="4">
        <v>0</v>
      </c>
      <c r="I29" s="48">
        <f>inputs!$B$11*H29/(0.65*G29^2)</f>
        <v>0</v>
      </c>
      <c r="J29" s="48">
        <f t="shared" si="18"/>
        <v>0</v>
      </c>
      <c r="K29" s="48">
        <f>ROUNDUP(J29/3,0)</f>
        <v>0</v>
      </c>
      <c r="L29" s="5">
        <f>D29*1000000*E29/1024</f>
        <v>5800.78125</v>
      </c>
      <c r="M29" s="50">
        <f>3*L29*K29</f>
        <v>0</v>
      </c>
      <c r="N29" s="9">
        <f>M29/1024</f>
        <v>0</v>
      </c>
      <c r="O29" s="9">
        <f>J29*L29/1024</f>
        <v>0</v>
      </c>
      <c r="P29" s="9"/>
      <c r="Q29" s="9"/>
      <c r="R29" s="9"/>
      <c r="T29" s="9">
        <f>(W29*inputs!$F$11/inputs!$F$6/24)/(1+$AI$28)</f>
        <v>0.37536184746212115</v>
      </c>
      <c r="U29" s="9">
        <f>IF(I29=0,0,(0.5*T29)/(inputs!$G$11))</f>
        <v>0</v>
      </c>
      <c r="V29" s="9">
        <f>IF(I29=0,0,(0.5*T29*I29)/((1-inputs!$G$11)*I29))</f>
        <v>0</v>
      </c>
      <c r="W29" s="9">
        <f t="shared" si="15"/>
        <v>5.664825439453125</v>
      </c>
      <c r="X29" s="188"/>
      <c r="Y29" s="19">
        <f>inputs!$L$54</f>
        <v>0.55000000000000004</v>
      </c>
      <c r="Z29" s="7">
        <f>inputs!$K$54</f>
        <v>1450</v>
      </c>
      <c r="AA29" s="205">
        <f>Y29*Z29*(1-$AK$52)</f>
        <v>744.65616985014458</v>
      </c>
      <c r="AB29" s="205">
        <f>Z29*$AK$52</f>
        <v>96.079691181555461</v>
      </c>
      <c r="AC29" s="205">
        <f>Y29*Z29</f>
        <v>797.50000000000011</v>
      </c>
      <c r="AD29" s="205">
        <f>(Z29-Y29*Z29)*$AK$52</f>
        <v>43.235861031699947</v>
      </c>
      <c r="AE29" s="205">
        <f>AA29+AB29</f>
        <v>840.7358610317001</v>
      </c>
      <c r="AF29" s="7">
        <f t="shared" si="20"/>
        <v>0</v>
      </c>
      <c r="AI29" s="14"/>
      <c r="AN29" s="20"/>
      <c r="AQ29" s="75"/>
      <c r="AR29" s="63"/>
      <c r="AS29" s="63" t="s">
        <v>97</v>
      </c>
      <c r="AT29" s="63"/>
      <c r="AU29" s="135">
        <f t="shared" si="21"/>
        <v>0</v>
      </c>
      <c r="AV29" s="65"/>
      <c r="AX29" s="133"/>
      <c r="AY29" s="134"/>
      <c r="AZ29" s="14">
        <f t="shared" si="23"/>
        <v>0</v>
      </c>
      <c r="BC29" s="66"/>
      <c r="BD29" s="66">
        <f t="shared" si="24"/>
        <v>0</v>
      </c>
    </row>
    <row r="30" spans="1:64" x14ac:dyDescent="0.25">
      <c r="C30" s="63"/>
      <c r="F30" s="179"/>
      <c r="G30" s="179"/>
      <c r="H30" s="182">
        <v>1</v>
      </c>
      <c r="I30" s="49">
        <f>I27+I28</f>
        <v>43.269230769230759</v>
      </c>
      <c r="J30" s="49">
        <f>J27+J28</f>
        <v>44</v>
      </c>
      <c r="K30" s="49">
        <f>ROUNDUP(K27+K28,0)</f>
        <v>15</v>
      </c>
      <c r="L30" s="63"/>
      <c r="M30" s="54">
        <f>M27+M28</f>
        <v>195776.3671875</v>
      </c>
      <c r="N30" s="49">
        <f>N27+N28</f>
        <v>191.18785858154297</v>
      </c>
      <c r="O30" s="49">
        <f>O27+O28</f>
        <v>186.93923950195313</v>
      </c>
      <c r="P30" s="9"/>
      <c r="Q30" s="9"/>
      <c r="R30" s="9"/>
      <c r="T30" s="9"/>
      <c r="U30" s="9"/>
      <c r="V30" s="9"/>
      <c r="W30" s="9"/>
      <c r="X30" s="188"/>
      <c r="Y30" s="14"/>
      <c r="AA30" s="36">
        <f>(AA14*$K14+AA15*$K15+AA16*$K16+AA17*$K17+AA18*$K18+AA19*$K19+AA20*$K20+AA21*$K$21+AA22*$K$22+AA23*$K$23+AA24*$K$24+AA25*$K$25+AA27*$K27+AA28*$K28+AA29*$K29)*24*30/1000/1000/1000</f>
        <v>1.5807253039991344E-2</v>
      </c>
      <c r="AB30" s="36">
        <f>(AB14*$K14+AB15*$K15+AB16*$K16+AB17*$K17+AB18*$K18+AB19*$K19+AB20*$K20+AB21*$K$21+AB22*$K$22+AB23*$K$23+AB24*$K$24+AB25*$K$25+AB27*$K27+AB28*$K28+AB29*$K29)*24*30/1000/1000/1000</f>
        <v>2.0395399272884669E-3</v>
      </c>
      <c r="AC30" s="36">
        <f>(AC14*$K14+AC15*$K15+AC16*$K16+AC17*$K17+AC18*$K18+AC19*$K19+AC20*$K20+AC21*$K$21+AC22*$K$22+AC23*$K$23+AC24*$K$24+AC25*$K$25+AC27*$K27+AC28*$K28+AC29*$K29)*24*30/1000/1000/1000</f>
        <v>1.6929000000000003E-2</v>
      </c>
      <c r="AD30" s="36">
        <f>(AD14*$K14+AD15*$K15+AD16*$K16+AD17*$K17+AD18*$K18+AD19*$K19+AD20*$K20+AD21*$K$21+AD22*$K$22+AD23*$K$23+AD24*$K$24+AD25*$K$25+AD27*$K27+AD28*$K28+AD29*$K29)*24*30/1000/1000/1000</f>
        <v>9.1779296727980981E-4</v>
      </c>
      <c r="AE30" s="36">
        <f>(AE15*$K15+AE27*$K27)*24*30/1000/1000/1000</f>
        <v>1.7846792967279812E-2</v>
      </c>
      <c r="AF30" s="7">
        <f>SUM(AF14:AF29)</f>
        <v>1.7846792967279812E-2</v>
      </c>
      <c r="AI30" s="9"/>
      <c r="AJ30" s="23"/>
      <c r="AN30" s="20"/>
      <c r="AQ30" s="75"/>
      <c r="AR30" s="63" t="s">
        <v>25</v>
      </c>
      <c r="AS30" s="224" t="s">
        <v>80</v>
      </c>
      <c r="AT30" s="63"/>
      <c r="AU30" s="135">
        <f>IF(AV12&lt;0,0,(BJ12/3)*J11)</f>
        <v>880000</v>
      </c>
      <c r="AV30" s="65">
        <f t="shared" ref="AV30:AV36" si="25">IF(BE12&lt;0,0,$BJ12*BE12)</f>
        <v>0</v>
      </c>
      <c r="AX30" s="133">
        <f>AU30+AU33+AU36</f>
        <v>9680000</v>
      </c>
      <c r="AY30" s="134"/>
      <c r="AZ30" s="14">
        <f t="shared" si="23"/>
        <v>5.0589404487264913E-2</v>
      </c>
      <c r="BC30" s="66">
        <f>AU30/($AU$40+$AU$43+$AU$23+$AU$24+$AU$25+$AU$26+$AU$27+$AU$28+$AU$30+$AU$31+$AU$33+$AU$35+$AU$36+$AU$39+$AU$42+$AU$45+$AU$38+$AU$46+$AU$47)</f>
        <v>4.5817597677373645E-2</v>
      </c>
      <c r="BD30" s="66">
        <f t="shared" si="24"/>
        <v>4.5512832112205921E-2</v>
      </c>
    </row>
    <row r="31" spans="1:64" x14ac:dyDescent="0.25">
      <c r="C31" s="63"/>
      <c r="D31" s="63"/>
      <c r="E31" s="63"/>
      <c r="F31" s="68"/>
      <c r="G31" s="179"/>
      <c r="H31" s="179"/>
      <c r="I31" s="48"/>
      <c r="J31" s="48"/>
      <c r="K31" s="9"/>
      <c r="L31" s="63"/>
      <c r="M31" s="17"/>
      <c r="N31" s="9"/>
      <c r="O31" s="9"/>
      <c r="P31" s="9"/>
      <c r="Q31" s="9"/>
      <c r="R31" s="9"/>
      <c r="T31" s="9"/>
      <c r="U31" s="9"/>
      <c r="V31" s="9"/>
      <c r="W31" s="9"/>
      <c r="X31" s="188"/>
      <c r="AC31" s="11"/>
      <c r="AE31" s="7" t="s">
        <v>167</v>
      </c>
      <c r="AI31" s="14"/>
      <c r="AK31" s="7">
        <f>AK26*1024*1024/8/30/24/60/60</f>
        <v>59.284990247752908</v>
      </c>
      <c r="AN31" s="20"/>
      <c r="AQ31" s="75"/>
      <c r="AR31" s="63"/>
      <c r="AS31" s="224" t="s">
        <v>98</v>
      </c>
      <c r="AT31" s="63"/>
      <c r="AU31" s="135">
        <f t="shared" si="21"/>
        <v>13817.138671874998</v>
      </c>
      <c r="AV31" s="65">
        <f t="shared" si="25"/>
        <v>0</v>
      </c>
      <c r="AX31" s="133"/>
      <c r="AY31" s="134"/>
      <c r="AZ31" s="14">
        <f t="shared" si="23"/>
        <v>7.9431911037285759E-4</v>
      </c>
      <c r="BC31" s="66">
        <f>AU31/($AU$40+$AU$43+$AU$23+$AU$24+$AU$25+$AU$26+$AU$27+$AU$28+$AU$30+$AU$31+$AU$33+$AU$35+$AU$36+$AU$39+$AU$42+$AU$45+$AU$38+$AU$46+$AU$47)</f>
        <v>7.1939556900051083E-4</v>
      </c>
      <c r="BD31" s="66">
        <f t="shared" si="24"/>
        <v>7.1461035527740305E-4</v>
      </c>
    </row>
    <row r="32" spans="1:64" x14ac:dyDescent="0.25">
      <c r="B32" s="179" t="s">
        <v>32</v>
      </c>
      <c r="D32" s="63" t="s">
        <v>208</v>
      </c>
      <c r="E32" s="63" t="s">
        <v>209</v>
      </c>
      <c r="F32" s="16"/>
      <c r="G32" s="179" t="s">
        <v>41</v>
      </c>
      <c r="H32" s="179" t="s">
        <v>26</v>
      </c>
      <c r="I32" s="48"/>
      <c r="J32" s="48"/>
      <c r="K32" s="9" t="s">
        <v>33</v>
      </c>
      <c r="L32" s="13" t="s">
        <v>324</v>
      </c>
      <c r="M32" s="184" t="s">
        <v>325</v>
      </c>
      <c r="N32" s="9"/>
      <c r="O32" s="9"/>
      <c r="P32" s="9"/>
      <c r="Q32" s="9"/>
      <c r="R32" s="9"/>
      <c r="S32" s="9"/>
      <c r="T32" s="9"/>
      <c r="U32" s="9"/>
      <c r="V32" s="9"/>
      <c r="W32" s="9"/>
      <c r="X32" s="188"/>
      <c r="AH32" s="31" t="s">
        <v>352</v>
      </c>
      <c r="AI32" s="7" t="s">
        <v>36</v>
      </c>
      <c r="AK32" s="7" t="s">
        <v>194</v>
      </c>
      <c r="AL32" s="7" t="s">
        <v>195</v>
      </c>
      <c r="AM32" s="20" t="s">
        <v>191</v>
      </c>
      <c r="AN32" s="7" t="s">
        <v>354</v>
      </c>
      <c r="AQ32" s="75"/>
      <c r="AR32" s="63"/>
      <c r="AS32" s="63" t="s">
        <v>369</v>
      </c>
      <c r="AT32" s="63"/>
      <c r="AU32" s="135">
        <f t="shared" si="21"/>
        <v>0</v>
      </c>
      <c r="AV32" s="65">
        <f t="shared" si="25"/>
        <v>0</v>
      </c>
      <c r="AX32" s="133"/>
      <c r="AY32" s="134"/>
      <c r="AZ32" s="14">
        <f t="shared" si="23"/>
        <v>0</v>
      </c>
      <c r="BC32" s="66"/>
      <c r="BD32" s="66">
        <f t="shared" si="24"/>
        <v>0</v>
      </c>
    </row>
    <row r="33" spans="1:56" x14ac:dyDescent="0.25">
      <c r="A33" s="7">
        <v>20</v>
      </c>
      <c r="B33" s="181" t="s">
        <v>246</v>
      </c>
      <c r="D33" s="63">
        <v>20</v>
      </c>
      <c r="E33" s="63">
        <v>1.56</v>
      </c>
      <c r="F33" s="179">
        <v>2600</v>
      </c>
      <c r="G33" s="3">
        <v>0.2</v>
      </c>
      <c r="H33" s="25">
        <f>H54+H61+H64+H80</f>
        <v>0.36</v>
      </c>
      <c r="I33" s="48">
        <f>I54+I80+I61+I64</f>
        <v>124.61538461538458</v>
      </c>
      <c r="J33" s="48">
        <f>J54+J80+J61+J64</f>
        <v>125</v>
      </c>
      <c r="K33" s="48">
        <f>K54+K80+K61+K64</f>
        <v>42</v>
      </c>
      <c r="L33" s="5">
        <f>D33*1000000*E33/1024</f>
        <v>30468.75</v>
      </c>
      <c r="M33" s="50">
        <f>3*L33*K33</f>
        <v>3839062.5</v>
      </c>
      <c r="N33" s="9">
        <f>M33/1024</f>
        <v>3749.08447265625</v>
      </c>
      <c r="O33" s="9">
        <f>J33*L33/1024</f>
        <v>3719.329833984375</v>
      </c>
      <c r="P33" s="9"/>
      <c r="Q33" s="9"/>
      <c r="R33" s="9"/>
      <c r="S33" s="9"/>
      <c r="T33" s="9"/>
      <c r="U33" s="9"/>
      <c r="V33" s="9"/>
      <c r="W33" s="9"/>
      <c r="X33" s="188"/>
      <c r="AH33" s="7" t="s">
        <v>25</v>
      </c>
      <c r="AI33" s="9">
        <f>(((Dashboard!D5*inputs!L29))/6)*AI14</f>
        <v>0.50354205334156887</v>
      </c>
      <c r="AK33" s="7">
        <f>AI33/(1+inputs!F16)</f>
        <v>0.45776550303778984</v>
      </c>
      <c r="AL33" s="7">
        <f>AK33*inputs!F6/30</f>
        <v>1.8310620121511593E-3</v>
      </c>
      <c r="AM33" s="7">
        <f>AL33/inputs!F11</f>
        <v>6.1035400405038643E-3</v>
      </c>
      <c r="AN33" s="7">
        <f>AK33/inputs!$F$11</f>
        <v>1.5258850101259662</v>
      </c>
      <c r="AQ33" s="75"/>
      <c r="AR33" s="63" t="s">
        <v>27</v>
      </c>
      <c r="AS33" s="224" t="s">
        <v>100</v>
      </c>
      <c r="AT33" s="63"/>
      <c r="AU33" s="135">
        <f>IF(AV15&lt;0,0,(BJ15/3)*(J26+J30))</f>
        <v>1400000</v>
      </c>
      <c r="AV33" s="65">
        <f t="shared" si="25"/>
        <v>0</v>
      </c>
      <c r="AX33" s="133">
        <f>(1/306)*BJ17</f>
        <v>3267.9738562091502</v>
      </c>
      <c r="AY33" s="134"/>
      <c r="AZ33" s="14">
        <f t="shared" si="23"/>
        <v>8.0483143502466908E-2</v>
      </c>
      <c r="BC33" s="66">
        <f>AU33/($AU$40+$AU$43+$AU$23+$AU$24+$AU$25+$AU$26+$AU$27+$AU$28+$AU$30+$AU$31+$AU$33+$AU$35+$AU$36+$AU$39+$AU$42+$AU$45+$AU$38+$AU$46+$AU$47)</f>
        <v>7.2891632668548978E-2</v>
      </c>
      <c r="BD33" s="66">
        <f t="shared" si="24"/>
        <v>7.2406778360327606E-2</v>
      </c>
    </row>
    <row r="34" spans="1:56" x14ac:dyDescent="0.25">
      <c r="A34" s="7">
        <v>21</v>
      </c>
      <c r="B34" s="181" t="s">
        <v>247</v>
      </c>
      <c r="D34" s="63">
        <v>20</v>
      </c>
      <c r="E34" s="63">
        <v>1.56</v>
      </c>
      <c r="F34" s="179">
        <v>2100</v>
      </c>
      <c r="G34" s="3">
        <v>0.23</v>
      </c>
      <c r="H34" s="25">
        <f>H64+H81</f>
        <v>0</v>
      </c>
      <c r="I34" s="48">
        <f>I81</f>
        <v>0</v>
      </c>
      <c r="J34" s="48">
        <f>J81</f>
        <v>0</v>
      </c>
      <c r="K34" s="48">
        <f>K81</f>
        <v>0</v>
      </c>
      <c r="L34" s="5">
        <f t="shared" ref="L34:L50" si="26">D34*1000000*E34/1024</f>
        <v>30468.75</v>
      </c>
      <c r="M34" s="50">
        <f t="shared" ref="M34:M50" si="27">3*L34*K34</f>
        <v>0</v>
      </c>
      <c r="N34" s="9">
        <f t="shared" ref="N34:N50" si="28">M34/1024</f>
        <v>0</v>
      </c>
      <c r="O34" s="9">
        <f t="shared" ref="O34:O50" si="29">J34*L34/1024</f>
        <v>0</v>
      </c>
      <c r="P34" s="9"/>
      <c r="Q34" s="9"/>
      <c r="R34" s="9"/>
      <c r="S34" s="9"/>
      <c r="T34" s="9"/>
      <c r="U34" s="9"/>
      <c r="V34" s="9"/>
      <c r="W34" s="9"/>
      <c r="X34" s="188"/>
      <c r="Z34"/>
      <c r="AG34" s="192"/>
      <c r="AH34" s="7" t="s">
        <v>27</v>
      </c>
      <c r="AI34" s="9">
        <f>(((Dashboard!D5*inputs!L29))/6)*AI15</f>
        <v>13.140900736671922</v>
      </c>
      <c r="AK34" s="7">
        <f>AI34/(1+inputs!F16)</f>
        <v>11.946273396974474</v>
      </c>
      <c r="AL34" s="7">
        <f>AK34*inputs!F6/30</f>
        <v>4.7785093587897891E-2</v>
      </c>
      <c r="AM34" s="7">
        <f>AL34/inputs!F11</f>
        <v>0.15928364529299296</v>
      </c>
      <c r="AN34" s="7">
        <f>AK34/inputs!$F$11</f>
        <v>39.820911323248247</v>
      </c>
      <c r="AQ34" s="75"/>
      <c r="AR34" s="63"/>
      <c r="AS34" s="63" t="s">
        <v>370</v>
      </c>
      <c r="AT34" s="63"/>
      <c r="AU34" s="135">
        <f t="shared" si="21"/>
        <v>0</v>
      </c>
      <c r="AV34" s="65">
        <f t="shared" si="25"/>
        <v>0</v>
      </c>
      <c r="AX34" s="133"/>
      <c r="AY34" s="134"/>
      <c r="AZ34" s="14">
        <f t="shared" si="23"/>
        <v>0</v>
      </c>
      <c r="BC34" s="66"/>
      <c r="BD34" s="66">
        <f t="shared" si="24"/>
        <v>0</v>
      </c>
    </row>
    <row r="35" spans="1:56" x14ac:dyDescent="0.25">
      <c r="A35" s="7">
        <v>22</v>
      </c>
      <c r="B35" s="181" t="s">
        <v>260</v>
      </c>
      <c r="D35" s="63">
        <v>20</v>
      </c>
      <c r="E35" s="63">
        <v>1.56</v>
      </c>
      <c r="F35" s="179">
        <v>1800</v>
      </c>
      <c r="G35" s="178">
        <v>0.25</v>
      </c>
      <c r="H35" s="25">
        <f>H55+H56+H62+H66+H82</f>
        <v>0</v>
      </c>
      <c r="I35" s="48">
        <f>I82+I55+I56+I62</f>
        <v>0</v>
      </c>
      <c r="J35" s="48">
        <f>J82+J55+J56+J62</f>
        <v>0</v>
      </c>
      <c r="K35" s="48">
        <f>K82+K55+K56+K62</f>
        <v>0</v>
      </c>
      <c r="L35" s="5">
        <f t="shared" si="26"/>
        <v>30468.75</v>
      </c>
      <c r="M35" s="50">
        <f t="shared" si="27"/>
        <v>0</v>
      </c>
      <c r="N35" s="9">
        <f t="shared" si="28"/>
        <v>0</v>
      </c>
      <c r="O35" s="9">
        <f t="shared" si="29"/>
        <v>0</v>
      </c>
      <c r="P35" s="9"/>
      <c r="Q35" s="9"/>
      <c r="R35" s="9"/>
      <c r="S35" s="9"/>
      <c r="T35" s="9"/>
      <c r="U35" s="9"/>
      <c r="V35" s="9"/>
      <c r="W35" s="9"/>
      <c r="X35" s="188"/>
      <c r="Z35"/>
      <c r="AG35" s="192"/>
      <c r="AH35" s="7" t="s">
        <v>341</v>
      </c>
      <c r="AI35" s="9">
        <f>(((Dashboard!D5*inputs!L29))/6)*AI16</f>
        <v>91.472112806607115</v>
      </c>
      <c r="AK35" s="7">
        <f>AI35/(1+inputs!F16)</f>
        <v>83.156466187824648</v>
      </c>
      <c r="AL35" s="7">
        <f>AK35*inputs!F6/30</f>
        <v>0.33262586475129857</v>
      </c>
      <c r="AM35" s="7">
        <f>AL35/inputs!F11</f>
        <v>1.1087528825043287</v>
      </c>
      <c r="AN35" s="7">
        <f>AK35/inputs!$F$11</f>
        <v>277.18822062608217</v>
      </c>
      <c r="AQ35" s="75"/>
      <c r="AR35" s="63"/>
      <c r="AS35" s="224" t="s">
        <v>101</v>
      </c>
      <c r="AT35" s="63"/>
      <c r="AU35" s="135">
        <f t="shared" si="21"/>
        <v>28320.3125</v>
      </c>
      <c r="AV35" s="65">
        <f t="shared" si="25"/>
        <v>0</v>
      </c>
      <c r="AX35" s="133"/>
      <c r="AY35" s="134"/>
      <c r="AZ35" s="14">
        <f t="shared" si="23"/>
        <v>1.6280769821230053E-3</v>
      </c>
      <c r="BC35" s="66">
        <f>AU35/($AU$40+$AU$43+$AU$23+$AU$24+$AU$25+$AU$26+$AU$27+$AU$28+$AU$30+$AU$31+$AU$33+$AU$35+$AU$36+$AU$39+$AU$42+$AU$45+$AU$38+$AU$46+$AU$47)</f>
        <v>1.4745098684346544E-3</v>
      </c>
      <c r="BD35" s="66">
        <f t="shared" si="24"/>
        <v>1.4647018502019396E-3</v>
      </c>
    </row>
    <row r="36" spans="1:56" x14ac:dyDescent="0.25">
      <c r="A36" s="7">
        <v>23</v>
      </c>
      <c r="B36" s="181" t="s">
        <v>248</v>
      </c>
      <c r="D36" s="63">
        <v>10</v>
      </c>
      <c r="E36" s="63">
        <v>1.56</v>
      </c>
      <c r="F36" s="179">
        <v>900</v>
      </c>
      <c r="G36" s="178">
        <v>0.4</v>
      </c>
      <c r="H36" s="25">
        <f>H58+H83</f>
        <v>0</v>
      </c>
      <c r="I36" s="48">
        <f>I83+I58</f>
        <v>0</v>
      </c>
      <c r="J36" s="48">
        <f>J83+J58</f>
        <v>0</v>
      </c>
      <c r="K36" s="48">
        <f>K83+K58</f>
        <v>0</v>
      </c>
      <c r="L36" s="5">
        <f t="shared" si="26"/>
        <v>15234.375</v>
      </c>
      <c r="M36" s="50">
        <f t="shared" si="27"/>
        <v>0</v>
      </c>
      <c r="N36" s="9">
        <f t="shared" si="28"/>
        <v>0</v>
      </c>
      <c r="O36" s="9">
        <f t="shared" si="29"/>
        <v>0</v>
      </c>
      <c r="P36" s="9"/>
      <c r="Q36" s="9"/>
      <c r="R36" s="9"/>
      <c r="S36" s="9"/>
      <c r="T36" s="9"/>
      <c r="U36" s="9"/>
      <c r="V36" s="9"/>
      <c r="W36" s="9"/>
      <c r="X36" s="188"/>
      <c r="Z36"/>
      <c r="AG36" s="192"/>
      <c r="AH36" s="7" t="s">
        <v>340</v>
      </c>
      <c r="AI36" s="9">
        <f>(((Dashboard!D5*inputs!L29))/6)*AI17</f>
        <v>715.22996066028384</v>
      </c>
      <c r="AK36" s="7">
        <f>AI36/(1+inputs!F16)</f>
        <v>650.20905514571257</v>
      </c>
      <c r="AL36" s="7">
        <f>AK36*inputs!F6/30</f>
        <v>2.6008362205828499</v>
      </c>
      <c r="AM36" s="7">
        <f>AL36/inputs!F11</f>
        <v>8.6694540686095003</v>
      </c>
      <c r="AN36" s="7">
        <f>AK36/inputs!$F$11</f>
        <v>2167.3635171523752</v>
      </c>
      <c r="AQ36" s="75"/>
      <c r="AR36" s="63" t="s">
        <v>32</v>
      </c>
      <c r="AS36" s="224" t="s">
        <v>102</v>
      </c>
      <c r="AT36" s="63"/>
      <c r="AU36" s="135">
        <f>IF(AV18&lt;0,0,(BJ18/3)*J52)</f>
        <v>7400000</v>
      </c>
      <c r="AV36" s="65">
        <f t="shared" si="25"/>
        <v>0</v>
      </c>
      <c r="AX36" s="133"/>
      <c r="AY36" s="134"/>
      <c r="AZ36" s="14">
        <f t="shared" si="23"/>
        <v>0.42541090137018223</v>
      </c>
      <c r="BC36" s="66">
        <f>AU36/($AU$40+$AU$43+$AU$23+$AU$24+$AU$25+$AU$26+$AU$27+$AU$28+$AU$30+$AU$31+$AU$33+$AU$35+$AU$36+$AU$39+$AU$42+$AU$45+$AU$38+$AU$46+$AU$47)</f>
        <v>0.38528434410518747</v>
      </c>
      <c r="BD36" s="66">
        <f t="shared" si="24"/>
        <v>0.38272154276173165</v>
      </c>
    </row>
    <row r="37" spans="1:56" x14ac:dyDescent="0.25">
      <c r="A37" s="7">
        <v>24</v>
      </c>
      <c r="B37" s="181" t="s">
        <v>249</v>
      </c>
      <c r="D37" s="63">
        <v>10</v>
      </c>
      <c r="E37" s="63">
        <v>1.56</v>
      </c>
      <c r="F37" s="179">
        <v>800</v>
      </c>
      <c r="G37" s="178">
        <v>0.5</v>
      </c>
      <c r="H37" s="25">
        <f>H57+H60+H84</f>
        <v>0.4</v>
      </c>
      <c r="I37" s="48">
        <f>I84+I57+I59+I63</f>
        <v>22.153846153846153</v>
      </c>
      <c r="J37" s="48">
        <f>J84+J57+J59+J63</f>
        <v>23</v>
      </c>
      <c r="K37" s="48">
        <f>K84+K57+K59+K63</f>
        <v>8</v>
      </c>
      <c r="L37" s="5">
        <f t="shared" si="26"/>
        <v>15234.375</v>
      </c>
      <c r="M37" s="50">
        <f t="shared" si="27"/>
        <v>365625</v>
      </c>
      <c r="N37" s="9">
        <f t="shared" si="28"/>
        <v>357.0556640625</v>
      </c>
      <c r="O37" s="9">
        <f t="shared" si="29"/>
        <v>342.1783447265625</v>
      </c>
      <c r="P37" s="9"/>
      <c r="Q37" s="9"/>
      <c r="R37" s="9"/>
      <c r="S37" s="9"/>
      <c r="T37" s="9"/>
      <c r="U37" s="9"/>
      <c r="V37" s="9"/>
      <c r="W37" s="9"/>
      <c r="X37" s="188"/>
      <c r="Z37"/>
      <c r="AG37" s="192"/>
      <c r="AH37" s="7" t="s">
        <v>37</v>
      </c>
      <c r="AI37" s="217">
        <f>AI33+AI34+AI35+AI36</f>
        <v>820.34651625690447</v>
      </c>
      <c r="AK37" s="217">
        <f>AK33+AK34+AK35+AK36</f>
        <v>745.76956023354944</v>
      </c>
      <c r="AL37" s="217">
        <f>AL33+AL34+AL35+AL36</f>
        <v>2.9830782409341974</v>
      </c>
      <c r="AM37" s="217">
        <f>AM33+AM34+AM35+AM36</f>
        <v>9.9435941364473255</v>
      </c>
      <c r="AN37" s="53">
        <f>AN33+AN34+AN35+AN36</f>
        <v>2485.8985341118314</v>
      </c>
      <c r="AQ37" s="75"/>
      <c r="AR37" s="63"/>
      <c r="AS37" s="63" t="s">
        <v>371</v>
      </c>
      <c r="AT37" s="63"/>
      <c r="AU37" s="135">
        <f t="shared" si="21"/>
        <v>0</v>
      </c>
      <c r="AV37" s="64">
        <f>SUM(AU23:AU36)</f>
        <v>12738804.117838541</v>
      </c>
      <c r="AX37" s="63"/>
      <c r="AY37" s="78"/>
      <c r="AZ37" s="14">
        <f t="shared" si="23"/>
        <v>0</v>
      </c>
      <c r="BC37" s="66"/>
      <c r="BD37" s="66">
        <f t="shared" si="24"/>
        <v>0</v>
      </c>
    </row>
    <row r="38" spans="1:56" x14ac:dyDescent="0.25">
      <c r="A38" s="7">
        <v>25</v>
      </c>
      <c r="B38" s="181" t="s">
        <v>250</v>
      </c>
      <c r="D38" s="63">
        <v>10</v>
      </c>
      <c r="E38" s="63">
        <v>1.56</v>
      </c>
      <c r="F38" s="179">
        <v>700</v>
      </c>
      <c r="G38" s="178">
        <v>0.6</v>
      </c>
      <c r="H38" s="25">
        <f>H59+H85</f>
        <v>0</v>
      </c>
      <c r="I38" s="48">
        <f>I85+I60</f>
        <v>0</v>
      </c>
      <c r="J38" s="48">
        <f>J85+J60</f>
        <v>0</v>
      </c>
      <c r="K38" s="48">
        <f>K85+K60</f>
        <v>0</v>
      </c>
      <c r="L38" s="5">
        <f t="shared" si="26"/>
        <v>15234.375</v>
      </c>
      <c r="M38" s="50">
        <f t="shared" si="27"/>
        <v>0</v>
      </c>
      <c r="N38" s="9">
        <f t="shared" si="28"/>
        <v>0</v>
      </c>
      <c r="O38" s="9">
        <f t="shared" si="29"/>
        <v>0</v>
      </c>
      <c r="P38" s="9"/>
      <c r="Q38" s="9"/>
      <c r="R38" s="9"/>
      <c r="S38" s="9"/>
      <c r="T38" s="9"/>
      <c r="U38" s="9"/>
      <c r="V38" s="9"/>
      <c r="W38" s="9"/>
      <c r="X38" s="188"/>
      <c r="Z38"/>
      <c r="AG38" s="192"/>
      <c r="AH38" s="7" t="s">
        <v>312</v>
      </c>
      <c r="AI38" s="30">
        <f>(((Dashboard!D5))/6)</f>
        <v>25736.354735000001</v>
      </c>
      <c r="AK38" s="7">
        <f>AI38/(1+inputs!F16)</f>
        <v>23396.686122727271</v>
      </c>
      <c r="AL38" s="7">
        <f>AK38*inputs!F6/30</f>
        <v>93.586744490909084</v>
      </c>
      <c r="AM38" s="7">
        <f>AL38/inputs!F11</f>
        <v>311.95581496969697</v>
      </c>
      <c r="AN38" s="20"/>
      <c r="AQ38" s="75"/>
      <c r="AR38" s="63"/>
      <c r="AS38" s="63" t="str">
        <f>AR61</f>
        <v>new site buildout, replacement</v>
      </c>
      <c r="AT38" s="63"/>
      <c r="AU38" s="135">
        <f>AU61</f>
        <v>4375000</v>
      </c>
      <c r="AV38" s="64"/>
      <c r="AX38" s="63"/>
      <c r="AY38" s="78"/>
      <c r="AZ38" s="14">
        <f t="shared" si="23"/>
        <v>0.25150982344520911</v>
      </c>
      <c r="BC38" s="66">
        <f>AU38/($AU$40+$AU$43+$AU$23+$AU$24+$AU$25+$AU$26+$AU$27+$AU$28+$AU$30+$AU$31+$AU$33+$AU$35+$AU$36+$AU$39+$AU$42+$AU$45+$AU$38+$AU$46+$AU$47)</f>
        <v>0.22778635208921558</v>
      </c>
      <c r="BD38" s="66">
        <f t="shared" si="24"/>
        <v>0.22627118237602378</v>
      </c>
    </row>
    <row r="39" spans="1:56" x14ac:dyDescent="0.25">
      <c r="A39" s="7">
        <v>26</v>
      </c>
      <c r="B39" s="181" t="s">
        <v>251</v>
      </c>
      <c r="D39" s="63">
        <v>20</v>
      </c>
      <c r="E39" s="63">
        <v>2.1</v>
      </c>
      <c r="F39" s="179">
        <v>2600</v>
      </c>
      <c r="G39" s="3">
        <v>0.2</v>
      </c>
      <c r="H39" s="25">
        <f>H67+H86</f>
        <v>0</v>
      </c>
      <c r="I39" s="48">
        <f t="shared" ref="I39:K41" si="30">I86+I67</f>
        <v>0</v>
      </c>
      <c r="J39" s="48">
        <f>J86+J67</f>
        <v>0</v>
      </c>
      <c r="K39" s="48">
        <f t="shared" si="30"/>
        <v>0</v>
      </c>
      <c r="L39" s="5">
        <f t="shared" si="26"/>
        <v>41015.625</v>
      </c>
      <c r="M39" s="50">
        <f t="shared" si="27"/>
        <v>0</v>
      </c>
      <c r="N39" s="9">
        <f t="shared" si="28"/>
        <v>0</v>
      </c>
      <c r="O39" s="9">
        <f t="shared" si="29"/>
        <v>0</v>
      </c>
      <c r="P39" s="9"/>
      <c r="Q39" s="9"/>
      <c r="R39" s="9"/>
      <c r="S39" s="9"/>
      <c r="T39" s="9"/>
      <c r="U39" s="9"/>
      <c r="V39" s="9"/>
      <c r="W39" s="9"/>
      <c r="X39" s="188"/>
      <c r="Z39"/>
      <c r="AG39" s="192"/>
      <c r="AN39" s="20"/>
      <c r="AQ39" s="75"/>
      <c r="AR39" s="63"/>
      <c r="AS39" s="63" t="s">
        <v>377</v>
      </c>
      <c r="AT39" s="63"/>
      <c r="AU39" s="135">
        <f>0.5*(2.2656 + 243.6062+13.4508)*(1+0.05)*BJ20</f>
        <v>108915.49200000001</v>
      </c>
      <c r="AV39" s="65"/>
      <c r="AX39" s="63"/>
      <c r="AY39" s="78"/>
      <c r="AZ39" s="14">
        <f t="shared" si="23"/>
        <v>6.2613294087698482E-3</v>
      </c>
      <c r="BC39" s="66">
        <f>AU39/($AU$40+$AU$43+$AU$23+$AU$24+$AU$25+$AU$26+$AU$27+$AU$28+$AU$30+$AU$31+$AU$33+$AU$35+$AU$36+$AU$39+$AU$42+$AU$45+$AU$38+$AU$46+$AU$47)</f>
        <v>5.6707343105559188E-3</v>
      </c>
      <c r="BD39" s="66">
        <f t="shared" si="24"/>
        <v>5.6330142066071684E-3</v>
      </c>
    </row>
    <row r="40" spans="1:56" x14ac:dyDescent="0.25">
      <c r="A40" s="7">
        <v>27</v>
      </c>
      <c r="B40" s="181" t="s">
        <v>261</v>
      </c>
      <c r="D40" s="63">
        <v>20</v>
      </c>
      <c r="E40" s="63">
        <v>2.1</v>
      </c>
      <c r="F40" s="179">
        <v>2100</v>
      </c>
      <c r="G40" s="3">
        <v>0.23</v>
      </c>
      <c r="H40" s="25">
        <f>H68+H87</f>
        <v>0</v>
      </c>
      <c r="I40" s="48">
        <f t="shared" si="30"/>
        <v>0</v>
      </c>
      <c r="J40" s="48">
        <f>J87+J68</f>
        <v>0</v>
      </c>
      <c r="K40" s="48">
        <f t="shared" si="30"/>
        <v>0</v>
      </c>
      <c r="L40" s="5">
        <f t="shared" si="26"/>
        <v>41015.625</v>
      </c>
      <c r="M40" s="50">
        <f t="shared" si="27"/>
        <v>0</v>
      </c>
      <c r="N40" s="9">
        <f t="shared" si="28"/>
        <v>0</v>
      </c>
      <c r="O40" s="9">
        <f t="shared" si="29"/>
        <v>0</v>
      </c>
      <c r="P40" s="9"/>
      <c r="Q40" s="9"/>
      <c r="R40" s="9"/>
      <c r="S40" s="9"/>
      <c r="T40" s="9"/>
      <c r="U40" s="9"/>
      <c r="V40" s="9"/>
      <c r="W40" s="9"/>
      <c r="X40" s="188"/>
      <c r="Z40"/>
      <c r="AG40" s="192"/>
      <c r="AH40" s="7" t="s">
        <v>313</v>
      </c>
      <c r="AI40" s="209">
        <f>AI26/AI38</f>
        <v>5.0108969885687749E-2</v>
      </c>
      <c r="AJ40" s="209"/>
      <c r="AL40" s="209"/>
      <c r="AM40" s="209"/>
      <c r="AQ40" s="75"/>
      <c r="AR40" s="63"/>
      <c r="AS40" s="63" t="s">
        <v>385</v>
      </c>
      <c r="AT40" s="63"/>
      <c r="AU40" s="135">
        <f>(AU24+AU25+AU23+AU26+AU27+AU28+AU30+AU31+AU33+AU35+AU36+AU38+AU39)*0.01</f>
        <v>172227.19609838538</v>
      </c>
      <c r="AV40" s="63"/>
      <c r="AX40" s="63"/>
      <c r="AY40" s="78"/>
      <c r="AZ40" s="14">
        <f t="shared" si="23"/>
        <v>9.9009900990098994E-3</v>
      </c>
      <c r="BC40" s="66">
        <f>AU40/($AU$40+$AU$43+$AU$23+$AU$24+$AU$25+$AU$26+$AU$27+$AU$28+$AU$30+$AU$31+$AU$33+$AU$35+$AU$36+$AU$39+$AU$42+$AU$45+$AU$38+$AU$46+$AU$47)</f>
        <v>8.9670867953840425E-3</v>
      </c>
      <c r="BD40" s="66">
        <f t="shared" si="24"/>
        <v>8.9074402967974781E-3</v>
      </c>
    </row>
    <row r="41" spans="1:56" x14ac:dyDescent="0.25">
      <c r="A41" s="7">
        <v>28</v>
      </c>
      <c r="B41" s="181" t="s">
        <v>252</v>
      </c>
      <c r="D41" s="63">
        <v>20</v>
      </c>
      <c r="E41" s="63">
        <v>2.1</v>
      </c>
      <c r="F41" s="179">
        <v>1800</v>
      </c>
      <c r="G41" s="185">
        <v>0.25</v>
      </c>
      <c r="H41" s="25">
        <f>H69+H88</f>
        <v>0</v>
      </c>
      <c r="I41" s="48">
        <f t="shared" si="30"/>
        <v>0</v>
      </c>
      <c r="J41" s="48">
        <f>J88+J69</f>
        <v>0</v>
      </c>
      <c r="K41" s="48">
        <f t="shared" si="30"/>
        <v>0</v>
      </c>
      <c r="L41" s="5">
        <f t="shared" si="26"/>
        <v>41015.625</v>
      </c>
      <c r="M41" s="50">
        <f t="shared" si="27"/>
        <v>0</v>
      </c>
      <c r="N41" s="9">
        <f t="shared" si="28"/>
        <v>0</v>
      </c>
      <c r="O41" s="9">
        <f t="shared" si="29"/>
        <v>0</v>
      </c>
      <c r="P41" s="9"/>
      <c r="Q41" s="9"/>
      <c r="R41" s="9"/>
      <c r="S41" s="9"/>
      <c r="T41" s="9"/>
      <c r="U41" s="9"/>
      <c r="V41" s="9"/>
      <c r="W41" s="9"/>
      <c r="X41" s="188"/>
      <c r="Z41"/>
      <c r="AG41" s="192"/>
      <c r="AH41" s="7" t="s">
        <v>343</v>
      </c>
      <c r="AI41" s="216">
        <f>(AI26/(1+0.1))/AI38</f>
        <v>4.5553608986988861E-2</v>
      </c>
      <c r="AJ41" s="216"/>
      <c r="AM41" s="209"/>
      <c r="AQ41" s="75"/>
      <c r="AR41" s="63"/>
      <c r="AS41" s="63"/>
      <c r="AT41" s="63"/>
      <c r="AU41" s="63"/>
      <c r="AV41" s="63"/>
      <c r="AX41" s="63"/>
      <c r="AY41" s="78"/>
      <c r="BC41" s="63"/>
      <c r="BD41" s="66">
        <f t="shared" si="24"/>
        <v>0</v>
      </c>
    </row>
    <row r="42" spans="1:56" x14ac:dyDescent="0.25">
      <c r="A42" s="7">
        <v>29</v>
      </c>
      <c r="B42" s="181" t="s">
        <v>253</v>
      </c>
      <c r="D42" s="63">
        <v>10</v>
      </c>
      <c r="E42" s="63">
        <v>2.1</v>
      </c>
      <c r="F42" s="179">
        <v>900</v>
      </c>
      <c r="G42" s="185">
        <v>0.4</v>
      </c>
      <c r="H42" s="25">
        <f t="shared" ref="H42:K44" si="31">H89</f>
        <v>0</v>
      </c>
      <c r="I42" s="48">
        <f t="shared" si="31"/>
        <v>0</v>
      </c>
      <c r="J42" s="48">
        <f t="shared" si="31"/>
        <v>0</v>
      </c>
      <c r="K42" s="48">
        <f t="shared" si="31"/>
        <v>0</v>
      </c>
      <c r="L42" s="5">
        <f t="shared" si="26"/>
        <v>20507.8125</v>
      </c>
      <c r="M42" s="50">
        <f t="shared" si="27"/>
        <v>0</v>
      </c>
      <c r="N42" s="9">
        <f t="shared" si="28"/>
        <v>0</v>
      </c>
      <c r="O42" s="9">
        <f t="shared" si="29"/>
        <v>0</v>
      </c>
      <c r="P42" s="9"/>
      <c r="Q42" s="9"/>
      <c r="R42" s="9"/>
      <c r="S42" s="9"/>
      <c r="T42" s="9"/>
      <c r="U42" s="9"/>
      <c r="V42" s="9"/>
      <c r="W42" s="9"/>
      <c r="X42" s="188"/>
      <c r="Z42"/>
      <c r="AG42" s="192"/>
      <c r="AQ42" s="75"/>
      <c r="AR42" s="63"/>
      <c r="AS42" s="63" t="s">
        <v>378</v>
      </c>
      <c r="AT42" s="63"/>
      <c r="AU42" s="135">
        <f>0.5*(2394.82623236671)*(1+0.05)*BJ21</f>
        <v>377185.13159775687</v>
      </c>
      <c r="AV42" s="64"/>
      <c r="AX42" s="63"/>
      <c r="AY42" s="78"/>
      <c r="BA42" s="66">
        <f>AU42/($AU$42+$AU$43)</f>
        <v>0.95238095238095244</v>
      </c>
      <c r="BB42" s="66"/>
      <c r="BC42" s="66">
        <f>AU42/($AU$40+$AU$43+$AU$23+$AU$24+$AU$25+$AU$26+$AU$27+$AU$28+$AU$30+$AU$31+$AU$33+$AU$35+$AU$36+$AU$39+$AU$42+$AU$45+$AU$38+$AU$46+$AU$47)</f>
        <v>1.9638314328901431E-2</v>
      </c>
      <c r="BD42" s="66">
        <f t="shared" si="24"/>
        <v>1.9507685874578417E-2</v>
      </c>
    </row>
    <row r="43" spans="1:56" x14ac:dyDescent="0.25">
      <c r="A43" s="7">
        <v>30</v>
      </c>
      <c r="B43" s="181" t="s">
        <v>254</v>
      </c>
      <c r="D43" s="63">
        <v>10</v>
      </c>
      <c r="E43" s="63">
        <v>2.1</v>
      </c>
      <c r="F43" s="179">
        <v>800</v>
      </c>
      <c r="G43" s="185">
        <v>0.5</v>
      </c>
      <c r="H43" s="25">
        <f t="shared" si="31"/>
        <v>0</v>
      </c>
      <c r="I43" s="48">
        <f t="shared" si="31"/>
        <v>0</v>
      </c>
      <c r="J43" s="48">
        <f t="shared" si="31"/>
        <v>0</v>
      </c>
      <c r="K43" s="48">
        <f t="shared" si="31"/>
        <v>0</v>
      </c>
      <c r="L43" s="5">
        <f t="shared" si="26"/>
        <v>20507.8125</v>
      </c>
      <c r="M43" s="50">
        <f t="shared" si="27"/>
        <v>0</v>
      </c>
      <c r="N43" s="9">
        <f t="shared" si="28"/>
        <v>0</v>
      </c>
      <c r="O43" s="9">
        <f t="shared" si="29"/>
        <v>0</v>
      </c>
      <c r="P43" s="9"/>
      <c r="Q43" s="9"/>
      <c r="R43" s="9"/>
      <c r="S43" s="9"/>
      <c r="T43" s="9"/>
      <c r="U43" s="9"/>
      <c r="V43" s="9"/>
      <c r="W43" s="9"/>
      <c r="X43" s="188"/>
      <c r="Z43"/>
      <c r="AG43" s="192"/>
      <c r="AH43" s="7" t="s">
        <v>193</v>
      </c>
      <c r="AI43" s="9"/>
      <c r="AL43" s="9"/>
      <c r="AQ43" s="75"/>
      <c r="AR43" s="63"/>
      <c r="AS43" s="63" t="s">
        <v>386</v>
      </c>
      <c r="AT43" s="63"/>
      <c r="AU43" s="135">
        <f>AU42*0.05</f>
        <v>18859.256579887846</v>
      </c>
      <c r="AV43" s="63"/>
      <c r="AX43" s="63"/>
      <c r="AY43" s="78"/>
      <c r="BA43" s="66">
        <f>AU43/($AU$42+$AU$43)</f>
        <v>4.761904761904763E-2</v>
      </c>
      <c r="BB43" s="66"/>
      <c r="BC43" s="66">
        <f>AU43/($AU$40+$AU$43+$AU$23+$AU$24+$AU$25+$AU$26+$AU$27+$AU$28+$AU$30+$AU$31+$AU$33+$AU$35+$AU$36+$AU$39+$AU$42+$AU$45+$AU$38+$AU$46+$AU$47)</f>
        <v>9.8191571644507154E-4</v>
      </c>
      <c r="BD43" s="66">
        <f t="shared" si="24"/>
        <v>9.7538429372892089E-4</v>
      </c>
    </row>
    <row r="44" spans="1:56" x14ac:dyDescent="0.25">
      <c r="A44" s="7">
        <v>31</v>
      </c>
      <c r="B44" s="181" t="s">
        <v>255</v>
      </c>
      <c r="D44" s="63">
        <v>10</v>
      </c>
      <c r="E44" s="63">
        <v>2.1</v>
      </c>
      <c r="F44" s="179">
        <v>700</v>
      </c>
      <c r="G44" s="185">
        <v>0.6</v>
      </c>
      <c r="H44" s="25">
        <f t="shared" si="31"/>
        <v>0</v>
      </c>
      <c r="I44" s="48">
        <f t="shared" si="31"/>
        <v>0</v>
      </c>
      <c r="J44" s="48">
        <f t="shared" si="31"/>
        <v>0</v>
      </c>
      <c r="K44" s="48">
        <f t="shared" si="31"/>
        <v>0</v>
      </c>
      <c r="L44" s="5">
        <f t="shared" si="26"/>
        <v>20507.8125</v>
      </c>
      <c r="M44" s="50">
        <f t="shared" si="27"/>
        <v>0</v>
      </c>
      <c r="N44" s="9">
        <f t="shared" si="28"/>
        <v>0</v>
      </c>
      <c r="O44" s="9">
        <f t="shared" si="29"/>
        <v>0</v>
      </c>
      <c r="P44" s="9"/>
      <c r="Q44" s="9"/>
      <c r="R44" s="9"/>
      <c r="S44" s="9"/>
      <c r="T44" s="9"/>
      <c r="U44" s="9"/>
      <c r="V44" s="9"/>
      <c r="W44" s="9"/>
      <c r="X44" s="188"/>
      <c r="Z44"/>
      <c r="AG44" s="192"/>
      <c r="AH44" s="7" t="s">
        <v>25</v>
      </c>
      <c r="AI44" s="9">
        <f>AI22-AI33</f>
        <v>0.2880490731301889</v>
      </c>
      <c r="AJ44" s="7" t="s">
        <v>36</v>
      </c>
      <c r="AK44" s="9">
        <f t="shared" ref="AK44:AM45" si="32">AK22-AK33</f>
        <v>0.26186279375471722</v>
      </c>
      <c r="AL44" s="7">
        <f t="shared" si="32"/>
        <v>1.047451175018869E-3</v>
      </c>
      <c r="AM44" s="7">
        <f t="shared" si="32"/>
        <v>3.4915039167295629E-3</v>
      </c>
      <c r="AQ44" s="75"/>
      <c r="AR44" s="63"/>
      <c r="AS44" s="63"/>
      <c r="AT44" s="63"/>
      <c r="AU44" s="63"/>
      <c r="AV44" s="63"/>
      <c r="AX44" s="63"/>
      <c r="AY44" s="78"/>
      <c r="BA44" s="66"/>
      <c r="BB44" s="66"/>
      <c r="BC44" s="63"/>
      <c r="BD44" s="66">
        <f t="shared" si="24"/>
        <v>0</v>
      </c>
    </row>
    <row r="45" spans="1:56" x14ac:dyDescent="0.25">
      <c r="A45" s="7">
        <v>32</v>
      </c>
      <c r="B45" s="181" t="s">
        <v>256</v>
      </c>
      <c r="D45" s="63">
        <v>20</v>
      </c>
      <c r="E45" s="63">
        <v>2.5</v>
      </c>
      <c r="F45" s="179">
        <v>2600</v>
      </c>
      <c r="G45" s="3">
        <v>0.2</v>
      </c>
      <c r="H45" s="25">
        <f>H70+H73+H92</f>
        <v>0.64133333333333342</v>
      </c>
      <c r="I45" s="48">
        <f t="shared" ref="I45:K47" si="33">I92+I70+I73</f>
        <v>222</v>
      </c>
      <c r="J45" s="48">
        <f>J92+J70+J73</f>
        <v>222</v>
      </c>
      <c r="K45" s="48">
        <f t="shared" si="33"/>
        <v>74</v>
      </c>
      <c r="L45" s="5">
        <f t="shared" si="26"/>
        <v>48828.125</v>
      </c>
      <c r="M45" s="50">
        <f t="shared" si="27"/>
        <v>10839843.75</v>
      </c>
      <c r="N45" s="9">
        <f t="shared" si="28"/>
        <v>10585.784912109375</v>
      </c>
      <c r="O45" s="9">
        <f t="shared" si="29"/>
        <v>10585.784912109375</v>
      </c>
      <c r="P45" s="9"/>
      <c r="Q45" s="9"/>
      <c r="R45" s="9"/>
      <c r="S45" s="9"/>
      <c r="T45" s="9"/>
      <c r="U45" s="9"/>
      <c r="V45" s="9"/>
      <c r="W45" s="9"/>
      <c r="X45" s="188"/>
      <c r="Z45"/>
      <c r="AG45" s="192"/>
      <c r="AH45" s="7" t="s">
        <v>27</v>
      </c>
      <c r="AI45" s="9">
        <f>AI23-AI34</f>
        <v>7.5171959366152965</v>
      </c>
      <c r="AJ45" s="7" t="s">
        <v>36</v>
      </c>
      <c r="AK45" s="9">
        <f t="shared" si="32"/>
        <v>6.8338144878320879</v>
      </c>
      <c r="AL45" s="7">
        <f t="shared" si="32"/>
        <v>2.7335257951328358E-2</v>
      </c>
      <c r="AM45" s="7">
        <f t="shared" si="32"/>
        <v>9.1117526504427865E-2</v>
      </c>
      <c r="AQ45" s="75"/>
      <c r="AR45" s="63"/>
      <c r="AS45" s="63" t="s">
        <v>379</v>
      </c>
      <c r="AT45" s="63"/>
      <c r="AU45" s="135">
        <f>2394.82623236671*(1+2*0.05)*BJ22*0.8</f>
        <v>421489.41689654108</v>
      </c>
      <c r="AV45" s="64"/>
      <c r="AX45" s="63"/>
      <c r="AY45" s="78"/>
      <c r="BA45" s="66"/>
      <c r="BB45" s="66">
        <f>AU45/($AU$45+$AU$46+$AU$47+$AU$48)</f>
        <v>0.28356716294086731</v>
      </c>
      <c r="BC45" s="66">
        <f>AU45/($AU$40+$AU$43+$AU$23+$AU$24+$AU$25+$AU$26+$AU$27+$AU$28+$AU$30+$AU$31+$AU$33+$AU$35+$AU$36+$AU$39+$AU$42+$AU$45+$AU$38+$AU$46+$AU$47)</f>
        <v>2.1945036964359697E-2</v>
      </c>
      <c r="BD45" s="66">
        <f t="shared" si="24"/>
        <v>2.1799064850322552E-2</v>
      </c>
    </row>
    <row r="46" spans="1:56" x14ac:dyDescent="0.25">
      <c r="A46" s="7">
        <v>33</v>
      </c>
      <c r="B46" s="181" t="s">
        <v>257</v>
      </c>
      <c r="D46" s="63">
        <v>20</v>
      </c>
      <c r="E46" s="63">
        <v>2.5</v>
      </c>
      <c r="F46" s="179">
        <v>2100</v>
      </c>
      <c r="G46" s="3">
        <v>0.23</v>
      </c>
      <c r="H46" s="25">
        <f>H71+H74+H93</f>
        <v>0.84816333333333338</v>
      </c>
      <c r="I46" s="48">
        <f t="shared" si="33"/>
        <v>222</v>
      </c>
      <c r="J46" s="48">
        <f>J93+J71+J74</f>
        <v>222</v>
      </c>
      <c r="K46" s="48">
        <f t="shared" si="33"/>
        <v>74</v>
      </c>
      <c r="L46" s="5">
        <f t="shared" si="26"/>
        <v>48828.125</v>
      </c>
      <c r="M46" s="50">
        <f t="shared" si="27"/>
        <v>10839843.75</v>
      </c>
      <c r="N46" s="9">
        <f t="shared" si="28"/>
        <v>10585.784912109375</v>
      </c>
      <c r="O46" s="9">
        <f t="shared" si="29"/>
        <v>10585.784912109375</v>
      </c>
      <c r="P46" s="9"/>
      <c r="Q46" s="9"/>
      <c r="R46" s="9"/>
      <c r="S46" s="9"/>
      <c r="T46" s="9"/>
      <c r="U46" s="9"/>
      <c r="V46" s="9"/>
      <c r="W46" s="9"/>
      <c r="X46" s="188"/>
      <c r="Z46"/>
      <c r="AG46" s="192"/>
      <c r="AH46" s="7" t="s">
        <v>341</v>
      </c>
      <c r="AI46" s="9">
        <f>AI24-AI35</f>
        <v>52.326230026571906</v>
      </c>
      <c r="AJ46" s="7" t="s">
        <v>36</v>
      </c>
      <c r="AK46" s="9">
        <f t="shared" ref="AK46:AM47" si="34">AK24-AK35</f>
        <v>47.569300024156277</v>
      </c>
      <c r="AL46" s="7">
        <f t="shared" si="34"/>
        <v>0.19027720009662513</v>
      </c>
      <c r="AM46" s="7">
        <f t="shared" si="34"/>
        <v>0.63425733365541714</v>
      </c>
      <c r="AQ46" s="75"/>
      <c r="AR46" s="63"/>
      <c r="AS46" s="63" t="s">
        <v>380</v>
      </c>
      <c r="AT46" s="63"/>
      <c r="AU46" s="135">
        <f>(BJ23*(2.2656 + 243.6062+13.4508)/BL23)+(BJ24*(2394.82623236671-2.2656 + 243.6062+13.4508)/BL24)</f>
        <v>740201.1880916775</v>
      </c>
      <c r="AV46" s="64"/>
      <c r="AX46" s="63"/>
      <c r="AY46" s="78"/>
      <c r="BA46" s="66"/>
      <c r="BB46" s="66">
        <f t="shared" ref="BB46:BB48" si="35">AU46/($AU$45+$AU$46+$AU$47+$AU$48)</f>
        <v>0.49798818783660609</v>
      </c>
      <c r="BC46" s="66">
        <f>AU46/($AU$40+$AU$43+$AU$23+$AU$24+$AU$25+$AU$26+$AU$27+$AU$28+$AU$30+$AU$31+$AU$33+$AU$35+$AU$36+$AU$39+$AU$42+$AU$45+$AU$38+$AU$46+$AU$47)</f>
        <v>3.8538909359430065E-2</v>
      </c>
      <c r="BD46" s="66">
        <f t="shared" si="24"/>
        <v>3.8282559548718044E-2</v>
      </c>
    </row>
    <row r="47" spans="1:56" x14ac:dyDescent="0.25">
      <c r="A47" s="7">
        <v>34</v>
      </c>
      <c r="B47" s="181" t="s">
        <v>262</v>
      </c>
      <c r="D47" s="63">
        <v>20</v>
      </c>
      <c r="E47" s="63">
        <v>2.5</v>
      </c>
      <c r="F47" s="179">
        <v>1800</v>
      </c>
      <c r="G47" s="185">
        <v>0.25</v>
      </c>
      <c r="H47" s="25">
        <f>H72+H75+H94</f>
        <v>1</v>
      </c>
      <c r="I47" s="48">
        <f t="shared" si="33"/>
        <v>221.53846153846152</v>
      </c>
      <c r="J47" s="48">
        <f>J94+J72+J75</f>
        <v>222</v>
      </c>
      <c r="K47" s="48">
        <f t="shared" si="33"/>
        <v>74</v>
      </c>
      <c r="L47" s="5">
        <f t="shared" si="26"/>
        <v>48828.125</v>
      </c>
      <c r="M47" s="50">
        <f t="shared" si="27"/>
        <v>10839843.75</v>
      </c>
      <c r="N47" s="9">
        <f t="shared" si="28"/>
        <v>10585.784912109375</v>
      </c>
      <c r="O47" s="9">
        <f t="shared" si="29"/>
        <v>10585.784912109375</v>
      </c>
      <c r="P47" s="9"/>
      <c r="Q47" s="9"/>
      <c r="R47" s="9"/>
      <c r="S47" s="9"/>
      <c r="T47" s="9"/>
      <c r="U47" s="9"/>
      <c r="V47" s="9"/>
      <c r="W47" s="9"/>
      <c r="X47" s="188"/>
      <c r="Z47"/>
      <c r="AG47" s="192"/>
      <c r="AH47" s="7" t="s">
        <v>340</v>
      </c>
      <c r="AI47" s="9">
        <f>AI25-AI36</f>
        <v>409.1442330902704</v>
      </c>
      <c r="AJ47" s="7" t="s">
        <v>36</v>
      </c>
      <c r="AK47" s="9">
        <f t="shared" si="34"/>
        <v>371.9493028093367</v>
      </c>
      <c r="AL47" s="7">
        <f t="shared" si="34"/>
        <v>1.4877972112373472</v>
      </c>
      <c r="AM47" s="7">
        <f t="shared" si="34"/>
        <v>4.959324037457824</v>
      </c>
      <c r="AQ47" s="75"/>
      <c r="AR47" s="63"/>
      <c r="AS47" s="63" t="s">
        <v>384</v>
      </c>
      <c r="AT47" s="63"/>
      <c r="AU47" s="135">
        <f>(inputs!B53/4000000)/0.3*8000000</f>
        <v>253912.27412980006</v>
      </c>
      <c r="AV47" s="64"/>
      <c r="AX47" s="63"/>
      <c r="AY47" s="78"/>
      <c r="BA47" s="66"/>
      <c r="BB47" s="66">
        <f t="shared" si="35"/>
        <v>0.17082560160347895</v>
      </c>
      <c r="BC47" s="66">
        <f>AU47/($AU$40+$AU$43+$AU$23+$AU$24+$AU$25+$AU$26+$AU$27+$AU$28+$AU$30+$AU$31+$AU$33+$AU$35+$AU$36+$AU$39+$AU$42+$AU$45+$AU$38+$AU$46+$AU$47)</f>
        <v>1.3220057297075214E-2</v>
      </c>
      <c r="BD47" s="66">
        <f t="shared" si="24"/>
        <v>1.313212125420227E-2</v>
      </c>
    </row>
    <row r="48" spans="1:56" x14ac:dyDescent="0.25">
      <c r="A48" s="7">
        <v>35</v>
      </c>
      <c r="B48" s="181" t="s">
        <v>258</v>
      </c>
      <c r="D48" s="63">
        <v>10</v>
      </c>
      <c r="E48" s="63">
        <v>2.5</v>
      </c>
      <c r="F48" s="179">
        <v>900</v>
      </c>
      <c r="G48" s="185">
        <v>0.4</v>
      </c>
      <c r="H48" s="25">
        <f>H76+H95</f>
        <v>0</v>
      </c>
      <c r="I48" s="48">
        <f t="shared" ref="I48:K49" si="36">I95+I76</f>
        <v>0</v>
      </c>
      <c r="J48" s="48">
        <f t="shared" si="36"/>
        <v>0</v>
      </c>
      <c r="K48" s="48">
        <f t="shared" si="36"/>
        <v>0</v>
      </c>
      <c r="L48" s="5">
        <f t="shared" si="26"/>
        <v>24414.0625</v>
      </c>
      <c r="M48" s="50">
        <f t="shared" si="27"/>
        <v>0</v>
      </c>
      <c r="N48" s="9">
        <f t="shared" si="28"/>
        <v>0</v>
      </c>
      <c r="O48" s="9">
        <f t="shared" si="29"/>
        <v>0</v>
      </c>
      <c r="P48" s="9"/>
      <c r="Q48" s="9"/>
      <c r="R48" s="9"/>
      <c r="S48" s="9"/>
      <c r="T48" s="9"/>
      <c r="U48" s="9"/>
      <c r="V48" s="9"/>
      <c r="W48" s="9"/>
      <c r="X48" s="188"/>
      <c r="Z48"/>
      <c r="AG48" s="192"/>
      <c r="AQ48" s="79"/>
      <c r="AR48" s="80"/>
      <c r="AS48" s="80" t="s">
        <v>387</v>
      </c>
      <c r="AT48" s="80"/>
      <c r="AU48" s="227">
        <f>(AU45+AU46+AU47)*0.05</f>
        <v>70780.14395590093</v>
      </c>
      <c r="AV48" s="228"/>
      <c r="AX48" s="80"/>
      <c r="AY48" s="81"/>
      <c r="BA48" s="66"/>
      <c r="BB48" s="66">
        <f t="shared" si="35"/>
        <v>4.7619047619047616E-2</v>
      </c>
      <c r="BC48" s="66">
        <f>AU48/($AU$40+$AU$43+$AU$23+$AU$24+$AU$25+$AU$26+$AU$27+$AU$28+$AU$30+$AU$31+$AU$33+$AU$35+$AU$36+$AU$39+$AU$42+$AU$45+$AU$38+$AU$46+$AU$47)</f>
        <v>3.6852001810432486E-3</v>
      </c>
      <c r="BD48" s="66">
        <f t="shared" si="24"/>
        <v>3.660687282662143E-3</v>
      </c>
    </row>
    <row r="49" spans="1:56" x14ac:dyDescent="0.25">
      <c r="A49" s="7">
        <v>36</v>
      </c>
      <c r="B49" s="181" t="s">
        <v>259</v>
      </c>
      <c r="D49" s="63">
        <v>10</v>
      </c>
      <c r="E49" s="63">
        <v>2.5</v>
      </c>
      <c r="F49" s="179">
        <v>800</v>
      </c>
      <c r="G49" s="185">
        <v>0.5</v>
      </c>
      <c r="H49" s="25">
        <f>H77+H96</f>
        <v>0</v>
      </c>
      <c r="I49" s="48">
        <f t="shared" si="36"/>
        <v>0</v>
      </c>
      <c r="J49" s="48">
        <f t="shared" si="36"/>
        <v>0</v>
      </c>
      <c r="K49" s="48">
        <f t="shared" si="36"/>
        <v>0</v>
      </c>
      <c r="L49" s="5">
        <f t="shared" si="26"/>
        <v>24414.0625</v>
      </c>
      <c r="M49" s="50">
        <f t="shared" si="27"/>
        <v>0</v>
      </c>
      <c r="N49" s="9">
        <f t="shared" si="28"/>
        <v>0</v>
      </c>
      <c r="O49" s="9">
        <f t="shared" si="29"/>
        <v>0</v>
      </c>
      <c r="P49" s="9"/>
      <c r="Q49" s="9"/>
      <c r="R49" s="9"/>
      <c r="S49" s="9"/>
      <c r="T49" s="9"/>
      <c r="U49" s="9"/>
      <c r="V49" s="9"/>
      <c r="W49" s="9"/>
      <c r="X49" s="188"/>
      <c r="Z49"/>
      <c r="AG49" s="192"/>
      <c r="AH49" s="7" t="s">
        <v>37</v>
      </c>
      <c r="AI49" s="3">
        <f>AI44+AI45+AI46+AI47</f>
        <v>469.2757081265878</v>
      </c>
      <c r="AJ49" s="7" t="s">
        <v>36</v>
      </c>
      <c r="AK49" s="3">
        <f>AK44+AK45+AK46+AK47</f>
        <v>426.61428011507979</v>
      </c>
      <c r="AL49" s="3">
        <f>AL44+AL45+AL46+AL47</f>
        <v>1.7064571204603196</v>
      </c>
      <c r="AM49" s="3">
        <f>AM44+AM45+AM46+AM47</f>
        <v>5.6881904015343983</v>
      </c>
      <c r="AQ49" s="63"/>
      <c r="AR49" s="63"/>
      <c r="AS49" s="63"/>
      <c r="AT49" s="63"/>
      <c r="AU49" s="135"/>
      <c r="AV49" s="64"/>
      <c r="AW49" s="66"/>
      <c r="AX49" s="63"/>
      <c r="AY49" s="63"/>
      <c r="BA49" s="66"/>
      <c r="BB49" s="66"/>
      <c r="BC49" s="63"/>
      <c r="BD49" s="66"/>
    </row>
    <row r="50" spans="1:56" x14ac:dyDescent="0.25">
      <c r="A50" s="7">
        <v>37</v>
      </c>
      <c r="B50" s="181" t="s">
        <v>263</v>
      </c>
      <c r="D50" s="63">
        <v>10</v>
      </c>
      <c r="E50" s="63">
        <v>2.5</v>
      </c>
      <c r="F50" s="179">
        <v>700</v>
      </c>
      <c r="G50" s="185">
        <v>0.6</v>
      </c>
      <c r="H50" s="25">
        <f>H97</f>
        <v>0</v>
      </c>
      <c r="I50" s="48">
        <f>I97</f>
        <v>0</v>
      </c>
      <c r="J50" s="48">
        <f>J97</f>
        <v>0</v>
      </c>
      <c r="K50" s="48">
        <f>K97</f>
        <v>0</v>
      </c>
      <c r="L50" s="5">
        <f t="shared" si="26"/>
        <v>24414.0625</v>
      </c>
      <c r="M50" s="50">
        <f t="shared" si="27"/>
        <v>0</v>
      </c>
      <c r="N50" s="9">
        <f t="shared" si="28"/>
        <v>0</v>
      </c>
      <c r="O50" s="9">
        <f t="shared" si="29"/>
        <v>0</v>
      </c>
      <c r="P50" s="9"/>
      <c r="Q50" s="9"/>
      <c r="R50" s="9"/>
      <c r="S50" s="9"/>
      <c r="T50" s="9"/>
      <c r="U50" s="9"/>
      <c r="V50" s="9"/>
      <c r="W50" s="9"/>
      <c r="X50" s="189"/>
      <c r="Z50"/>
      <c r="AG50" s="192"/>
      <c r="AQ50" s="63"/>
      <c r="AR50" s="63"/>
      <c r="AS50" s="63" t="s">
        <v>388</v>
      </c>
      <c r="AT50" s="63"/>
      <c r="AU50" s="135">
        <f>(AU24+AU23+AU25+AU26+AU27+AU28+AU30+AU31+AU33+AU35+AU36+AU38+AU39+AU40+AU42+AU43+AU45+AU46+AU47+AU48)*0.002</f>
        <v>38554.748434376976</v>
      </c>
      <c r="AV50" s="64"/>
      <c r="AW50" s="66"/>
      <c r="AX50" s="63"/>
      <c r="AY50" s="63"/>
      <c r="BD50" s="66">
        <f t="shared" si="24"/>
        <v>1.9940179461615153E-3</v>
      </c>
    </row>
    <row r="51" spans="1:56" x14ac:dyDescent="0.25">
      <c r="C51" s="63"/>
      <c r="D51" s="63"/>
      <c r="E51" s="63"/>
      <c r="F51" s="63"/>
      <c r="G51" s="63"/>
      <c r="H51" s="16" t="s">
        <v>286</v>
      </c>
      <c r="I51" s="28">
        <f>SUM(I33:I50)</f>
        <v>812.30769230769226</v>
      </c>
      <c r="J51" s="28"/>
      <c r="K51" s="28">
        <f>SUM(K33:K50)</f>
        <v>272</v>
      </c>
      <c r="L51" s="49"/>
      <c r="M51" s="50">
        <f>SUM(M33:M50)</f>
        <v>36724218.75</v>
      </c>
      <c r="N51" s="9"/>
      <c r="O51" s="49">
        <f>SUM(O33:O50)</f>
        <v>35818.862915039063</v>
      </c>
      <c r="P51" s="9"/>
      <c r="Q51" s="9"/>
      <c r="R51" s="9"/>
      <c r="S51" s="9"/>
      <c r="T51" s="9"/>
      <c r="U51" s="9"/>
      <c r="V51" s="9"/>
      <c r="W51" s="9"/>
      <c r="Z51"/>
      <c r="AG51" s="192"/>
      <c r="AI51" s="20"/>
      <c r="AQ51" s="63"/>
      <c r="AR51" s="63"/>
      <c r="AS51" s="63" t="s">
        <v>389</v>
      </c>
      <c r="AT51" s="63"/>
      <c r="AU51" s="135">
        <f>(AU24+AU23+AU25+AU26+AU27+AU28+AU30+AU31+AU33+AU35+AU36+AU38+AU39+AU40+AU42+AU43+AU45+AU46+AU47+AU48)*0.001</f>
        <v>19277.374217188488</v>
      </c>
      <c r="AV51" s="64"/>
      <c r="AW51" s="66"/>
      <c r="AX51" s="63"/>
      <c r="AY51" s="63"/>
      <c r="BD51" s="66">
        <f t="shared" si="24"/>
        <v>9.9700897308075765E-4</v>
      </c>
    </row>
    <row r="52" spans="1:56" x14ac:dyDescent="0.25">
      <c r="C52" s="63"/>
      <c r="D52" s="63"/>
      <c r="E52" s="63"/>
      <c r="F52" s="63"/>
      <c r="G52" s="63"/>
      <c r="H52" s="63"/>
      <c r="I52" s="49">
        <f>I78+I98</f>
        <v>368.30769230769226</v>
      </c>
      <c r="J52" s="49">
        <f>J78+J98</f>
        <v>370</v>
      </c>
      <c r="K52" s="49">
        <f>K78+K98</f>
        <v>124</v>
      </c>
      <c r="L52" s="63"/>
      <c r="M52" s="63"/>
      <c r="N52" s="65"/>
      <c r="O52" s="65"/>
      <c r="P52" s="65"/>
      <c r="Q52" s="65"/>
      <c r="R52" s="65"/>
      <c r="S52" s="65"/>
      <c r="T52" s="65"/>
      <c r="U52" s="65"/>
      <c r="V52" s="65"/>
      <c r="W52" s="65"/>
      <c r="Z52"/>
      <c r="AG52" s="192"/>
      <c r="AH52" s="7" t="s">
        <v>289</v>
      </c>
      <c r="AJ52" s="17"/>
      <c r="AK52" s="197">
        <f>AK37/AI4</f>
        <v>6.6261855987279628E-2</v>
      </c>
      <c r="AL52" s="197"/>
      <c r="AM52" s="197">
        <f>AM37/AM26</f>
        <v>0.63611381747788465</v>
      </c>
      <c r="AQ52" s="63"/>
      <c r="AR52" s="63"/>
      <c r="AS52" s="63"/>
      <c r="AT52" s="63"/>
      <c r="AU52" s="135"/>
      <c r="AV52" s="64"/>
      <c r="AW52" s="66"/>
      <c r="AX52" s="63"/>
      <c r="AY52" s="63"/>
      <c r="BD52" s="66"/>
    </row>
    <row r="53" spans="1:56" x14ac:dyDescent="0.25">
      <c r="B53" s="7" t="s">
        <v>275</v>
      </c>
      <c r="D53" s="63"/>
      <c r="E53" s="7" t="s">
        <v>276</v>
      </c>
      <c r="G53" s="63"/>
      <c r="H53" s="25"/>
      <c r="I53" s="48"/>
      <c r="J53" s="48"/>
      <c r="L53" s="65"/>
      <c r="M53" s="65"/>
      <c r="N53" s="63"/>
      <c r="O53" s="63"/>
      <c r="P53" s="63"/>
      <c r="Q53" s="63"/>
      <c r="R53" s="63"/>
      <c r="S53" s="63"/>
      <c r="T53" s="63"/>
      <c r="U53" s="63"/>
      <c r="V53" s="63"/>
      <c r="W53" s="63"/>
      <c r="Z53"/>
      <c r="AG53" s="192"/>
      <c r="AI53" s="223">
        <v>6.4469696969696996E-2</v>
      </c>
      <c r="AJ53" s="17"/>
      <c r="AK53" s="197"/>
      <c r="AQ53" s="63"/>
      <c r="AR53" s="63"/>
      <c r="AS53" s="63"/>
      <c r="AT53" s="63"/>
      <c r="AU53" s="135"/>
      <c r="AV53" s="64"/>
      <c r="AW53" s="66"/>
      <c r="AX53" s="63"/>
      <c r="AY53" s="63"/>
    </row>
    <row r="54" spans="1:56" x14ac:dyDescent="0.25">
      <c r="A54" s="7" t="s">
        <v>283</v>
      </c>
      <c r="D54" s="63"/>
      <c r="E54" s="4">
        <v>0</v>
      </c>
      <c r="F54" s="184">
        <f>F33</f>
        <v>2600</v>
      </c>
      <c r="G54" s="3">
        <f>G33</f>
        <v>0.2</v>
      </c>
      <c r="H54" s="25">
        <f>MIN(1,K55*(1.95*G54^2)/inputs!$B$11)</f>
        <v>0</v>
      </c>
      <c r="I54" s="48">
        <f>inputs!$B$11*H54/(0.65*G54^2)</f>
        <v>0</v>
      </c>
      <c r="J54" s="48">
        <f t="shared" ref="J54:J77" si="37">ROUNDUP(I54,0)</f>
        <v>0</v>
      </c>
      <c r="K54" s="48">
        <f>ROUNDUP(J54/3,0)</f>
        <v>0</v>
      </c>
      <c r="L54" s="5">
        <f>L33</f>
        <v>30468.75</v>
      </c>
      <c r="M54" s="50">
        <f>3*L54*K54</f>
        <v>0</v>
      </c>
      <c r="N54" s="9">
        <f t="shared" ref="N54:N79" si="38">M54/1024</f>
        <v>0</v>
      </c>
      <c r="O54" s="9">
        <f>J54*L54/1024</f>
        <v>0</v>
      </c>
      <c r="P54" s="9">
        <f>(IF(I54=0,0,($AK$36*((M54+M55)/$M$78))/I54))*8*1024*1024/30/24/60/60</f>
        <v>0</v>
      </c>
      <c r="Q54" s="9">
        <f>(IF(I54=0,0,(($AK$36)*((M54+M55)/$M$78)/2)/(inputs!$G$11*I54)))*8*1024*1024/30/24/60/60</f>
        <v>0</v>
      </c>
      <c r="R54" s="9">
        <f>(IF(I54=0,0,(($AI$36/2/(1+inputs!$F$16))*((M54+M55)/$M$78))/((1-inputs!$G$11)*I54)))*8*1024*1024/30/24/60/60</f>
        <v>0</v>
      </c>
      <c r="T54" s="9">
        <f>(W54*inputs!$F$11/inputs!$F$6/24)/(1+$AI$28)</f>
        <v>3.9431951652586466</v>
      </c>
      <c r="U54" s="9">
        <f>IF(I54=0,0,(0.5*T54)/(inputs!$G$11))</f>
        <v>0</v>
      </c>
      <c r="V54" s="9">
        <f>IF(I54=0,0,(0.5*T54*I54)/((1-inputs!$G$11)*I54))</f>
        <v>0</v>
      </c>
      <c r="W54" s="9">
        <f>(L54+L55)/1024</f>
        <v>59.50927734375</v>
      </c>
      <c r="Y54" s="19">
        <f>inputs!$L$59</f>
        <v>0.5</v>
      </c>
      <c r="Z54" s="7">
        <f>inputs!$K$59</f>
        <v>1500</v>
      </c>
      <c r="AA54" s="7">
        <f>Y54*Z54*(1-$AK$52)</f>
        <v>700.30360800954031</v>
      </c>
      <c r="AB54" s="7">
        <f>Z54*$AK$52</f>
        <v>99.392783980919447</v>
      </c>
      <c r="AC54" s="7">
        <f>Y54*Z54</f>
        <v>750</v>
      </c>
      <c r="AD54" s="7">
        <f>(Z54-Y54*Z54)*$AK$52</f>
        <v>49.696391990459723</v>
      </c>
      <c r="AE54" s="7">
        <f>AA54+AB54</f>
        <v>799.6963919904598</v>
      </c>
      <c r="AF54" s="7">
        <f>(AE54*K54)*24*30/1000/1000/1000</f>
        <v>0</v>
      </c>
      <c r="AG54" s="192"/>
      <c r="AH54" s="17"/>
      <c r="AI54" s="17"/>
      <c r="AJ54" s="17"/>
      <c r="AK54" s="17"/>
    </row>
    <row r="55" spans="1:56" x14ac:dyDescent="0.25">
      <c r="B55" s="7" t="s">
        <v>328</v>
      </c>
      <c r="D55" s="63"/>
      <c r="E55" s="4"/>
      <c r="F55" s="184">
        <f>F35</f>
        <v>1800</v>
      </c>
      <c r="G55" s="183">
        <f>G35</f>
        <v>0.25</v>
      </c>
      <c r="H55" s="25">
        <f>E54</f>
        <v>0</v>
      </c>
      <c r="I55" s="48">
        <f>inputs!$B$11*H55/(0.65*G55^2)</f>
        <v>0</v>
      </c>
      <c r="J55" s="48">
        <f t="shared" si="37"/>
        <v>0</v>
      </c>
      <c r="K55" s="48">
        <f t="shared" ref="K55:K77" si="39">ROUNDUP(J55/3,0)</f>
        <v>0</v>
      </c>
      <c r="L55" s="5">
        <f>L35</f>
        <v>30468.75</v>
      </c>
      <c r="M55" s="50">
        <f t="shared" ref="M55:M77" si="40">3*L55*K55</f>
        <v>0</v>
      </c>
      <c r="N55" s="9">
        <f t="shared" si="38"/>
        <v>0</v>
      </c>
      <c r="O55" s="9">
        <f t="shared" ref="O55:O77" si="41">J55*L55/1024</f>
        <v>0</v>
      </c>
      <c r="P55" s="9"/>
      <c r="Q55" s="9"/>
      <c r="R55" s="9"/>
      <c r="T55" s="9"/>
      <c r="U55" s="9"/>
      <c r="V55" s="9"/>
      <c r="W55" s="9"/>
      <c r="AG55" s="192"/>
      <c r="AI55" s="17"/>
      <c r="AJ55" s="17"/>
      <c r="AK55" s="17"/>
      <c r="AQ55" s="76" t="s">
        <v>60</v>
      </c>
      <c r="AR55" s="77"/>
      <c r="AS55" s="77"/>
      <c r="AT55" s="77"/>
      <c r="AU55" s="136"/>
      <c r="AV55" s="77"/>
      <c r="AW55" s="77"/>
      <c r="AX55" s="77"/>
      <c r="AY55" s="77"/>
      <c r="AZ55" s="77"/>
      <c r="BA55" s="125"/>
    </row>
    <row r="56" spans="1:56" x14ac:dyDescent="0.25">
      <c r="A56" s="7" t="s">
        <v>277</v>
      </c>
      <c r="E56" s="4">
        <v>0</v>
      </c>
      <c r="F56" s="184">
        <v>1800</v>
      </c>
      <c r="G56" s="183">
        <f>G35</f>
        <v>0.25</v>
      </c>
      <c r="H56" s="25">
        <f>MIN(1,K57*(1.95*G56^2)/inputs!$B$11)</f>
        <v>0</v>
      </c>
      <c r="I56" s="48">
        <f>inputs!$B$11*H56/(0.65*G56^2)</f>
        <v>0</v>
      </c>
      <c r="J56" s="48">
        <f t="shared" si="37"/>
        <v>0</v>
      </c>
      <c r="K56" s="48">
        <f t="shared" si="39"/>
        <v>0</v>
      </c>
      <c r="L56" s="5">
        <f>L35</f>
        <v>30468.75</v>
      </c>
      <c r="M56" s="50">
        <f t="shared" si="40"/>
        <v>0</v>
      </c>
      <c r="N56" s="9">
        <f t="shared" si="38"/>
        <v>0</v>
      </c>
      <c r="O56" s="9">
        <f t="shared" si="41"/>
        <v>0</v>
      </c>
      <c r="P56" s="9">
        <f>(IF(I56=0,0,($AK$36*((M56+M57)/$M$78))/I56))*8*1024*1024/30/24/60/60</f>
        <v>0</v>
      </c>
      <c r="Q56" s="9">
        <f>(IF(I56=0,0,(($AK$36)*((M56+M57)/$M$78)/2)/(inputs!$G$11*I56)))*8*1024*1024/30/24/60/60</f>
        <v>0</v>
      </c>
      <c r="R56" s="9">
        <f>(IF(I56=0,0,(($AI$36/2/(1+inputs!$F$16))*((M56+M57)/$M$78))/((1-inputs!$G$11)*I56)))*8*1024*1024/30/24/60/60</f>
        <v>0</v>
      </c>
      <c r="T56" s="9">
        <f>(W56*inputs!$F$11/inputs!$F$6/24)/(1+$AI$28)</f>
        <v>2.9573963739439848</v>
      </c>
      <c r="U56" s="9">
        <f>IF(I56=0,0,(0.5*T56)/(inputs!$G$11))</f>
        <v>0</v>
      </c>
      <c r="V56" s="9">
        <f>IF(I56=0,0,(0.5*T56*I56)/((1-inputs!$G$11)*I56))</f>
        <v>0</v>
      </c>
      <c r="W56" s="9">
        <f>(L56+L57)/1024</f>
        <v>44.6319580078125</v>
      </c>
      <c r="Y56" s="19">
        <f>inputs!$L$60</f>
        <v>0.5</v>
      </c>
      <c r="Z56" s="7">
        <f>inputs!$K$60</f>
        <v>1500</v>
      </c>
      <c r="AA56" s="7">
        <f>Y56*Z56*(1-$AK$52)</f>
        <v>700.30360800954031</v>
      </c>
      <c r="AB56" s="7">
        <f>Z56*$AK$52</f>
        <v>99.392783980919447</v>
      </c>
      <c r="AC56" s="7">
        <f>Y56*Z56</f>
        <v>750</v>
      </c>
      <c r="AD56" s="7">
        <f>(Z56-Y56*Z56)*$AK$52</f>
        <v>49.696391990459723</v>
      </c>
      <c r="AE56" s="7">
        <f>AA56+AB56</f>
        <v>799.6963919904598</v>
      </c>
      <c r="AF56" s="7">
        <f>(AE56*K56)*24*30/1000/1000/1000</f>
        <v>0</v>
      </c>
      <c r="AG56" s="192"/>
      <c r="AH56" s="17"/>
      <c r="AI56" s="17"/>
      <c r="AJ56" s="17"/>
      <c r="AK56" s="17"/>
      <c r="AQ56" s="75"/>
      <c r="AR56" s="100" t="s">
        <v>150</v>
      </c>
      <c r="AS56" s="63"/>
      <c r="AT56" s="100" t="s">
        <v>152</v>
      </c>
      <c r="AU56" s="133">
        <f>AV11</f>
        <v>125</v>
      </c>
      <c r="AV56" s="74">
        <f>BE11</f>
        <v>0</v>
      </c>
      <c r="AW56" s="137"/>
      <c r="AX56" s="138"/>
      <c r="AY56" s="138"/>
      <c r="AZ56" s="100" t="s">
        <v>153</v>
      </c>
      <c r="BA56" s="139">
        <v>35000</v>
      </c>
      <c r="BB56" s="53"/>
    </row>
    <row r="57" spans="1:56" x14ac:dyDescent="0.25">
      <c r="B57" s="7" t="s">
        <v>329</v>
      </c>
      <c r="E57" s="4"/>
      <c r="F57" s="184">
        <v>800</v>
      </c>
      <c r="G57" s="183">
        <f>G37</f>
        <v>0.5</v>
      </c>
      <c r="H57" s="25">
        <f>E56</f>
        <v>0</v>
      </c>
      <c r="I57" s="48">
        <f>inputs!$B$11*H57/(0.65*G57^2)</f>
        <v>0</v>
      </c>
      <c r="J57" s="48">
        <f t="shared" si="37"/>
        <v>0</v>
      </c>
      <c r="K57" s="48">
        <f t="shared" si="39"/>
        <v>0</v>
      </c>
      <c r="L57" s="5">
        <f>L37</f>
        <v>15234.375</v>
      </c>
      <c r="M57" s="50">
        <f t="shared" si="40"/>
        <v>0</v>
      </c>
      <c r="N57" s="9">
        <f t="shared" si="38"/>
        <v>0</v>
      </c>
      <c r="O57" s="9">
        <f t="shared" si="41"/>
        <v>0</v>
      </c>
      <c r="P57" s="9"/>
      <c r="Q57" s="9"/>
      <c r="R57" s="9"/>
      <c r="T57" s="9"/>
      <c r="U57" s="9"/>
      <c r="V57" s="9"/>
      <c r="W57" s="9"/>
      <c r="X57" s="190"/>
      <c r="AG57" s="192"/>
      <c r="AH57" s="17"/>
      <c r="AI57" s="17"/>
      <c r="AJ57" s="17"/>
      <c r="AK57" s="17"/>
      <c r="AQ57" s="75"/>
      <c r="AR57" s="100" t="s">
        <v>138</v>
      </c>
      <c r="AS57" s="63"/>
      <c r="AT57" s="100" t="s">
        <v>151</v>
      </c>
      <c r="AU57" s="133">
        <f>AV16</f>
        <v>0</v>
      </c>
      <c r="AV57" s="74">
        <f>BE16</f>
        <v>0</v>
      </c>
      <c r="AW57" s="137"/>
      <c r="AX57" s="138"/>
      <c r="AY57" s="138"/>
      <c r="AZ57" s="100" t="s">
        <v>154</v>
      </c>
      <c r="BA57" s="139">
        <v>500</v>
      </c>
      <c r="BB57" s="53"/>
    </row>
    <row r="58" spans="1:56" x14ac:dyDescent="0.25">
      <c r="A58" s="7" t="s">
        <v>278</v>
      </c>
      <c r="E58" s="4">
        <v>0</v>
      </c>
      <c r="F58" s="184">
        <v>900</v>
      </c>
      <c r="G58" s="183">
        <f>G36</f>
        <v>0.4</v>
      </c>
      <c r="H58" s="25">
        <f>MIN(1,MAX(K60)*(1.95*G58^2)/inputs!$B$11)</f>
        <v>0</v>
      </c>
      <c r="I58" s="48">
        <f>inputs!$B$11*H58/(0.65*G58^2)</f>
        <v>0</v>
      </c>
      <c r="J58" s="48">
        <f t="shared" si="37"/>
        <v>0</v>
      </c>
      <c r="K58" s="48">
        <f t="shared" si="39"/>
        <v>0</v>
      </c>
      <c r="L58" s="5">
        <f>L36</f>
        <v>15234.375</v>
      </c>
      <c r="M58" s="50">
        <f t="shared" si="40"/>
        <v>0</v>
      </c>
      <c r="N58" s="9">
        <f t="shared" si="38"/>
        <v>0</v>
      </c>
      <c r="O58" s="9">
        <f t="shared" si="41"/>
        <v>0</v>
      </c>
      <c r="P58" s="9">
        <f>(IF(I58=0,0,($AK$36*((M58+M59+M60)/$M$78))/I58))*8*1024*1024/30/24/60/60</f>
        <v>0</v>
      </c>
      <c r="Q58" s="9">
        <f>(IF(I58=0,0,(($AK$36)*((M58+M59+M60)/$M$78)/2)/(inputs!$G$11*I58)))*8*1024*1024/30/24/60/60</f>
        <v>0</v>
      </c>
      <c r="R58" s="9">
        <f>(IF(I58=0,0,(($AI$36/2/(1+inputs!$F$16))*((M58+M59+M60)/$M$78))/((1-inputs!$G$11)*I58)))*8*1024*1024/30/24/60/60</f>
        <v>0</v>
      </c>
      <c r="T58" s="9">
        <f>(W58*inputs!$F$11/inputs!$F$6/24)/(1+$AI$28)</f>
        <v>2.9573963739439848</v>
      </c>
      <c r="U58" s="9">
        <f>IF(I58=0,0,(0.5*T58)/(inputs!$G$11))</f>
        <v>0</v>
      </c>
      <c r="V58" s="9">
        <f>IF(I58=0,0,(0.5*T58*I58)/((1-inputs!$G$11)*I58))</f>
        <v>0</v>
      </c>
      <c r="W58" s="9">
        <f>(L58+L59+L60)/1024</f>
        <v>44.6319580078125</v>
      </c>
      <c r="Y58" s="19">
        <f>inputs!$L$61</f>
        <v>0.5</v>
      </c>
      <c r="Z58" s="7">
        <f>inputs!$K$61</f>
        <v>2000</v>
      </c>
      <c r="AA58" s="7">
        <f>Y58*Z58*(1-$AK$52)</f>
        <v>933.73814401272034</v>
      </c>
      <c r="AB58" s="7">
        <f>Z58*$AK$52</f>
        <v>132.52371197455926</v>
      </c>
      <c r="AC58" s="7">
        <f>Y58*Z58</f>
        <v>1000</v>
      </c>
      <c r="AD58" s="7">
        <f>(Z58-Y58*Z58)*$AK$52</f>
        <v>66.261855987279631</v>
      </c>
      <c r="AE58" s="7">
        <f>AA58+AB58</f>
        <v>1066.2618559872797</v>
      </c>
      <c r="AF58" s="7">
        <f>(AE58*K58)*24*30/1000/1000/1000</f>
        <v>0</v>
      </c>
      <c r="AG58" s="192"/>
      <c r="AH58" s="17"/>
      <c r="AI58" s="17"/>
      <c r="AJ58" s="17"/>
      <c r="AK58" s="17"/>
      <c r="AQ58" s="75"/>
      <c r="AR58" s="7" t="s">
        <v>301</v>
      </c>
      <c r="AT58" s="100" t="s">
        <v>151</v>
      </c>
      <c r="AU58" s="133">
        <f>AV19</f>
        <v>0</v>
      </c>
      <c r="AV58" s="74">
        <f>BE19</f>
        <v>0</v>
      </c>
      <c r="AZ58" s="100" t="s">
        <v>302</v>
      </c>
      <c r="BA58" s="139">
        <v>500</v>
      </c>
      <c r="BB58" s="53"/>
    </row>
    <row r="59" spans="1:56" x14ac:dyDescent="0.25">
      <c r="B59" s="7" t="s">
        <v>330</v>
      </c>
      <c r="E59" s="4"/>
      <c r="F59" s="184">
        <v>800</v>
      </c>
      <c r="G59" s="183">
        <f>G37</f>
        <v>0.5</v>
      </c>
      <c r="H59" s="25">
        <f>MIN(1,K60*(1.95*G59^2)/inputs!$B$11)</f>
        <v>0</v>
      </c>
      <c r="I59" s="48">
        <f>inputs!$B$11*H59/(0.65*G59^2)</f>
        <v>0</v>
      </c>
      <c r="J59" s="48">
        <f t="shared" si="37"/>
        <v>0</v>
      </c>
      <c r="K59" s="48">
        <f t="shared" si="39"/>
        <v>0</v>
      </c>
      <c r="L59" s="5">
        <f>L37</f>
        <v>15234.375</v>
      </c>
      <c r="M59" s="50">
        <f t="shared" si="40"/>
        <v>0</v>
      </c>
      <c r="N59" s="9">
        <f t="shared" si="38"/>
        <v>0</v>
      </c>
      <c r="O59" s="9">
        <f t="shared" si="41"/>
        <v>0</v>
      </c>
      <c r="P59" s="9"/>
      <c r="Q59" s="9"/>
      <c r="R59" s="9"/>
      <c r="T59" s="9"/>
      <c r="U59" s="9"/>
      <c r="V59" s="9"/>
      <c r="W59" s="9"/>
      <c r="Z59"/>
      <c r="AG59" s="192"/>
      <c r="AH59" s="17"/>
      <c r="AI59" s="17"/>
      <c r="AJ59" s="17"/>
      <c r="AK59" s="17"/>
      <c r="AQ59" s="75"/>
      <c r="AR59" s="140" t="s">
        <v>62</v>
      </c>
      <c r="AS59" s="63"/>
      <c r="AT59" s="100" t="s">
        <v>63</v>
      </c>
      <c r="AU59" s="133">
        <f>SUMIF(AV12:AV15,"&gt;0")+SUMIF(AV17:AV18,"&gt;0")</f>
        <v>183.06779785156249</v>
      </c>
      <c r="AV59" s="74">
        <f>SUMIF(BE12:BE15,"&gt;0")+SUMIF(BE17:BE18,"&gt;0")</f>
        <v>0</v>
      </c>
      <c r="AW59" s="137"/>
      <c r="AX59" s="138"/>
      <c r="AY59" s="138"/>
      <c r="AZ59" s="100" t="s">
        <v>64</v>
      </c>
      <c r="BA59" s="139">
        <v>0</v>
      </c>
    </row>
    <row r="60" spans="1:56" x14ac:dyDescent="0.25">
      <c r="E60" s="4"/>
      <c r="F60" s="184">
        <v>700</v>
      </c>
      <c r="G60" s="183">
        <f>G38</f>
        <v>0.6</v>
      </c>
      <c r="H60" s="25">
        <f>E58</f>
        <v>0</v>
      </c>
      <c r="I60" s="48">
        <f>inputs!$B$11*H60/(0.65*G60^2)</f>
        <v>0</v>
      </c>
      <c r="J60" s="48">
        <f t="shared" si="37"/>
        <v>0</v>
      </c>
      <c r="K60" s="48">
        <f t="shared" si="39"/>
        <v>0</v>
      </c>
      <c r="L60" s="5">
        <f>L38</f>
        <v>15234.375</v>
      </c>
      <c r="M60" s="50">
        <f t="shared" si="40"/>
        <v>0</v>
      </c>
      <c r="N60" s="9">
        <f t="shared" si="38"/>
        <v>0</v>
      </c>
      <c r="O60" s="9">
        <f t="shared" si="41"/>
        <v>0</v>
      </c>
      <c r="P60" s="9"/>
      <c r="Q60" s="9"/>
      <c r="R60" s="9"/>
      <c r="T60" s="9"/>
      <c r="U60" s="9"/>
      <c r="V60" s="9"/>
      <c r="W60" s="9"/>
      <c r="Z60"/>
      <c r="AG60" s="192"/>
      <c r="AH60" s="17"/>
      <c r="AI60" s="17"/>
      <c r="AJ60" s="17"/>
      <c r="AK60" s="17"/>
      <c r="AQ60" s="75" t="s">
        <v>60</v>
      </c>
      <c r="AR60" s="63"/>
      <c r="AS60" s="63"/>
      <c r="AT60" s="63"/>
      <c r="AU60" s="63"/>
      <c r="AV60" s="63"/>
      <c r="AW60" s="63"/>
      <c r="AX60" s="141"/>
      <c r="AY60" s="141"/>
      <c r="AZ60" s="63"/>
      <c r="BA60" s="78"/>
    </row>
    <row r="61" spans="1:56" x14ac:dyDescent="0.25">
      <c r="A61" s="7" t="s">
        <v>284</v>
      </c>
      <c r="E61" s="4">
        <v>0</v>
      </c>
      <c r="F61" s="184">
        <v>2600</v>
      </c>
      <c r="G61" s="183">
        <f>G33</f>
        <v>0.2</v>
      </c>
      <c r="H61" s="25">
        <f>MIN(1,MAX(K63)*(1.95*G61^2)/inputs!$B$11)</f>
        <v>0</v>
      </c>
      <c r="I61" s="48">
        <f>inputs!$B$11*H61/(0.65*G61^2)</f>
        <v>0</v>
      </c>
      <c r="J61" s="48">
        <f t="shared" si="37"/>
        <v>0</v>
      </c>
      <c r="K61" s="48">
        <f t="shared" si="39"/>
        <v>0</v>
      </c>
      <c r="L61" s="5">
        <f>L33</f>
        <v>30468.75</v>
      </c>
      <c r="M61" s="50">
        <f t="shared" si="40"/>
        <v>0</v>
      </c>
      <c r="N61" s="9">
        <f t="shared" si="38"/>
        <v>0</v>
      </c>
      <c r="O61" s="9">
        <f t="shared" si="41"/>
        <v>0</v>
      </c>
      <c r="P61" s="9">
        <f>(IF(I61=0,0,($AK$36*((M61+M62+M63)/$M$78))/I61))*8*1024*1024/30/24/60/60</f>
        <v>0</v>
      </c>
      <c r="Q61" s="9">
        <f>(IF(I61=0,0,(($AK$36)*((M61+M62+M63)/$M$78)/2)/(inputs!$G$11*I61)))*8*1024*1024/30/24/60/60</f>
        <v>0</v>
      </c>
      <c r="R61" s="9">
        <f>(IF(I61=0,0,(($AI$36/2/(1+inputs!$F$16))*((M61+M62+M63)/$M$78))/((1-inputs!$G$11)*I61)))*8*1024*1024/30/24/60/60</f>
        <v>0</v>
      </c>
      <c r="T61" s="9">
        <f>(W61*inputs!$F$11/inputs!$F$6/24)/(1+$AI$28)</f>
        <v>4.9289939565733079</v>
      </c>
      <c r="U61" s="9">
        <f>IF(I61=0,0,(0.5*T61)/(inputs!$G$11))</f>
        <v>0</v>
      </c>
      <c r="V61" s="9">
        <f>IF(I61=0,0,(0.5*T61*I61)/((1-inputs!$G$11)*I61))</f>
        <v>0</v>
      </c>
      <c r="W61" s="9">
        <f>(L61+L62+L63)/1024</f>
        <v>74.3865966796875</v>
      </c>
      <c r="Y61" s="19">
        <f>inputs!$L$62</f>
        <v>0.5</v>
      </c>
      <c r="Z61" s="7">
        <f>inputs!$K$62</f>
        <v>2000</v>
      </c>
      <c r="AA61" s="7">
        <f>Y61*Z61*(1-$AK$52)</f>
        <v>933.73814401272034</v>
      </c>
      <c r="AB61" s="7">
        <f>Z61*$AK$52</f>
        <v>132.52371197455926</v>
      </c>
      <c r="AC61" s="7">
        <f>Y61*Z61</f>
        <v>1000</v>
      </c>
      <c r="AD61" s="7">
        <f>(Z61-Y61*Z61)*$AK$52</f>
        <v>66.261855987279631</v>
      </c>
      <c r="AE61" s="7">
        <f>AA61+AB61</f>
        <v>1066.2618559872797</v>
      </c>
      <c r="AF61" s="7">
        <f>(AE61*K61)*24*30/1000/1000/1000</f>
        <v>0</v>
      </c>
      <c r="AG61" s="192"/>
      <c r="AH61" s="17"/>
      <c r="AI61" s="17"/>
      <c r="AJ61" s="17"/>
      <c r="AK61" s="17"/>
      <c r="AQ61" s="75"/>
      <c r="AR61" s="226" t="s">
        <v>150</v>
      </c>
      <c r="AS61" s="63"/>
      <c r="AT61" s="100" t="s">
        <v>152</v>
      </c>
      <c r="AU61" s="141">
        <f>AU56*$BA56</f>
        <v>4375000</v>
      </c>
      <c r="AV61" s="65">
        <f>AV56*$BA56</f>
        <v>0</v>
      </c>
      <c r="AW61" s="133"/>
      <c r="AX61" s="133"/>
      <c r="AY61" s="133"/>
      <c r="AZ61" s="100"/>
      <c r="BA61" s="78"/>
    </row>
    <row r="62" spans="1:56" x14ac:dyDescent="0.25">
      <c r="B62" s="7" t="s">
        <v>331</v>
      </c>
      <c r="E62" s="4"/>
      <c r="F62" s="184">
        <v>1800</v>
      </c>
      <c r="G62" s="183">
        <f>G35</f>
        <v>0.25</v>
      </c>
      <c r="H62" s="25">
        <f>MIN(1,K63*(1.95*G62^2)/inputs!$B$11)</f>
        <v>0</v>
      </c>
      <c r="I62" s="48">
        <f>inputs!$B$11*H62/(0.65*G62^2)</f>
        <v>0</v>
      </c>
      <c r="J62" s="48">
        <f t="shared" si="37"/>
        <v>0</v>
      </c>
      <c r="K62" s="48">
        <f t="shared" si="39"/>
        <v>0</v>
      </c>
      <c r="L62" s="5">
        <f>L35</f>
        <v>30468.75</v>
      </c>
      <c r="M62" s="50">
        <f t="shared" si="40"/>
        <v>0</v>
      </c>
      <c r="N62" s="9">
        <f t="shared" si="38"/>
        <v>0</v>
      </c>
      <c r="O62" s="9">
        <f t="shared" si="41"/>
        <v>0</v>
      </c>
      <c r="P62" s="9"/>
      <c r="Q62" s="9"/>
      <c r="R62" s="9"/>
      <c r="T62" s="9"/>
      <c r="U62" s="9"/>
      <c r="V62" s="9"/>
      <c r="W62" s="9"/>
      <c r="Z62"/>
      <c r="AG62" s="192"/>
      <c r="AH62" s="17"/>
      <c r="AI62" s="17"/>
      <c r="AJ62" s="17"/>
      <c r="AK62" s="17"/>
      <c r="AQ62" s="75"/>
      <c r="AR62" s="100" t="s">
        <v>372</v>
      </c>
      <c r="AS62" s="63"/>
      <c r="AT62" s="100" t="s">
        <v>151</v>
      </c>
      <c r="AU62" s="141">
        <f>AU57*$BA57</f>
        <v>0</v>
      </c>
      <c r="AV62" s="65">
        <f>AV57*$BA57</f>
        <v>0</v>
      </c>
      <c r="AW62" s="133"/>
      <c r="AX62" s="133"/>
      <c r="AY62" s="133"/>
      <c r="AZ62" s="100"/>
      <c r="BA62" s="78"/>
    </row>
    <row r="63" spans="1:56" x14ac:dyDescent="0.25">
      <c r="E63" s="4"/>
      <c r="F63" s="184">
        <v>800</v>
      </c>
      <c r="G63" s="183">
        <f>G37</f>
        <v>0.5</v>
      </c>
      <c r="H63" s="25">
        <f>E61</f>
        <v>0</v>
      </c>
      <c r="I63" s="48">
        <f>inputs!$B$11*H63/(0.65*G63^2)</f>
        <v>0</v>
      </c>
      <c r="J63" s="48">
        <f t="shared" si="37"/>
        <v>0</v>
      </c>
      <c r="K63" s="48">
        <f t="shared" si="39"/>
        <v>0</v>
      </c>
      <c r="L63" s="5">
        <f>L37</f>
        <v>15234.375</v>
      </c>
      <c r="M63" s="50">
        <f t="shared" si="40"/>
        <v>0</v>
      </c>
      <c r="N63" s="9">
        <f t="shared" si="38"/>
        <v>0</v>
      </c>
      <c r="O63" s="9">
        <f t="shared" si="41"/>
        <v>0</v>
      </c>
      <c r="P63" s="9"/>
      <c r="Q63" s="9"/>
      <c r="R63" s="9"/>
      <c r="T63" s="9"/>
      <c r="U63" s="9"/>
      <c r="V63" s="9"/>
      <c r="W63" s="9"/>
      <c r="X63" s="189"/>
      <c r="Z63"/>
      <c r="AG63" s="192"/>
      <c r="AH63" s="17"/>
      <c r="AI63" s="17"/>
      <c r="AJ63" s="17"/>
      <c r="AK63" s="17"/>
      <c r="AQ63" s="75"/>
      <c r="AR63" s="7" t="s">
        <v>373</v>
      </c>
      <c r="AS63" s="63"/>
      <c r="AT63" s="100" t="s">
        <v>151</v>
      </c>
      <c r="AU63" s="141">
        <f>AU58*$BA58</f>
        <v>0</v>
      </c>
      <c r="AV63" s="65"/>
      <c r="AW63" s="133"/>
      <c r="AX63" s="133"/>
      <c r="AY63" s="133"/>
      <c r="AZ63" s="100"/>
      <c r="BA63" s="78"/>
    </row>
    <row r="64" spans="1:56" x14ac:dyDescent="0.25">
      <c r="A64" s="7" t="s">
        <v>279</v>
      </c>
      <c r="E64" s="4">
        <v>0</v>
      </c>
      <c r="F64" s="184">
        <v>2600</v>
      </c>
      <c r="G64" s="183">
        <f>G33</f>
        <v>0.2</v>
      </c>
      <c r="H64" s="25">
        <f>MIN(1,MAX(K66)*(1.95*G64^2)/inputs!$B$11)</f>
        <v>0</v>
      </c>
      <c r="I64" s="48">
        <f>inputs!$B$11*H64/(0.65*G64^2)</f>
        <v>0</v>
      </c>
      <c r="J64" s="48">
        <f t="shared" si="37"/>
        <v>0</v>
      </c>
      <c r="K64" s="48">
        <f t="shared" si="39"/>
        <v>0</v>
      </c>
      <c r="L64" s="5">
        <f>L33</f>
        <v>30468.75</v>
      </c>
      <c r="M64" s="50">
        <f t="shared" si="40"/>
        <v>0</v>
      </c>
      <c r="N64" s="9">
        <f t="shared" si="38"/>
        <v>0</v>
      </c>
      <c r="O64" s="9">
        <f t="shared" si="41"/>
        <v>0</v>
      </c>
      <c r="P64" s="9">
        <f>(IF(I64=0,0,($AK$36*((M64+M65+M66)/$M$78))/I64))*8*1024*1024/30/24/60/60</f>
        <v>0</v>
      </c>
      <c r="Q64" s="9">
        <f>(IF(I64=0,0,(($AK$36)*((M64+M65+M66)/$M$78)/2)/(inputs!$G$11*I64)))*8*1024*1024/30/24/60/60</f>
        <v>0</v>
      </c>
      <c r="R64" s="9">
        <f>(IF(I64=0,0,(($AI$36/2/(1+inputs!$F$16))*((M64+M65+M66)/$M$78))/((1-inputs!$G$11)*I64)))*8*1024*1024/30/24/60/60</f>
        <v>0</v>
      </c>
      <c r="T64" s="9">
        <f>(W64*inputs!$F$11/inputs!$F$6/24)/(1+$AI$28)</f>
        <v>5.9147927478879696</v>
      </c>
      <c r="U64" s="9">
        <f>IF(I64=0,0,(0.5*T64)/(inputs!$G$11))</f>
        <v>0</v>
      </c>
      <c r="V64" s="9">
        <f>IF(I64=0,0,(0.5*T64*I64)/((1-inputs!$G$11)*I64))</f>
        <v>0</v>
      </c>
      <c r="W64" s="9">
        <f>(L64+L65+L66)/1024</f>
        <v>89.263916015625</v>
      </c>
      <c r="X64" s="191"/>
      <c r="Y64" s="19">
        <f>inputs!$L$63</f>
        <v>0.5</v>
      </c>
      <c r="Z64" s="7">
        <f>inputs!$K$63</f>
        <v>2000</v>
      </c>
      <c r="AA64" s="7">
        <f>Y64*Z64*(1-$AK$52)</f>
        <v>933.73814401272034</v>
      </c>
      <c r="AB64" s="7">
        <f>Z64*$AK$52</f>
        <v>132.52371197455926</v>
      </c>
      <c r="AC64" s="7">
        <f>Y64*Z64</f>
        <v>1000</v>
      </c>
      <c r="AD64" s="7">
        <f>(Z64-Y64*Z64)*$AK$52</f>
        <v>66.261855987279631</v>
      </c>
      <c r="AE64" s="7">
        <f>AA64+AB64</f>
        <v>1066.2618559872797</v>
      </c>
      <c r="AF64" s="7">
        <f>(AE64*K64)*24*30/1000/1000/1000</f>
        <v>0</v>
      </c>
      <c r="AG64" s="192"/>
      <c r="AH64" s="17"/>
      <c r="AI64" s="17"/>
      <c r="AJ64" s="17"/>
      <c r="AK64" s="17"/>
      <c r="AQ64" s="75"/>
      <c r="AR64" s="140" t="s">
        <v>376</v>
      </c>
      <c r="AS64" s="63"/>
      <c r="AT64" s="100" t="s">
        <v>63</v>
      </c>
      <c r="AU64" s="141">
        <f>AU59*$BA59</f>
        <v>0</v>
      </c>
      <c r="AV64" s="65">
        <f>AV59*$BA59</f>
        <v>0</v>
      </c>
      <c r="AW64" s="133"/>
      <c r="AX64" s="133"/>
      <c r="AY64" s="133"/>
      <c r="AZ64" s="100"/>
      <c r="BA64" s="78"/>
    </row>
    <row r="65" spans="1:55" x14ac:dyDescent="0.25">
      <c r="B65" s="7" t="s">
        <v>332</v>
      </c>
      <c r="E65" s="4"/>
      <c r="F65" s="184">
        <v>2100</v>
      </c>
      <c r="G65" s="183">
        <f>G34</f>
        <v>0.23</v>
      </c>
      <c r="H65" s="25">
        <f>MIN(1,K66*(1.95*G65^2)/inputs!$B$11)</f>
        <v>0</v>
      </c>
      <c r="I65" s="48">
        <f>inputs!$B$11*H65/(0.65*G65^2)</f>
        <v>0</v>
      </c>
      <c r="J65" s="48">
        <f t="shared" si="37"/>
        <v>0</v>
      </c>
      <c r="K65" s="48">
        <f t="shared" si="39"/>
        <v>0</v>
      </c>
      <c r="L65" s="5">
        <f>L34</f>
        <v>30468.75</v>
      </c>
      <c r="M65" s="50">
        <f t="shared" si="40"/>
        <v>0</v>
      </c>
      <c r="N65" s="9">
        <f t="shared" si="38"/>
        <v>0</v>
      </c>
      <c r="O65" s="9">
        <f t="shared" si="41"/>
        <v>0</v>
      </c>
      <c r="P65" s="9"/>
      <c r="Q65" s="9"/>
      <c r="R65" s="9"/>
      <c r="T65" s="9"/>
      <c r="U65" s="9"/>
      <c r="V65" s="9"/>
      <c r="W65" s="9"/>
      <c r="Z65"/>
      <c r="AG65" s="192"/>
      <c r="AH65" s="17"/>
      <c r="AI65" s="17"/>
      <c r="AJ65" s="17"/>
      <c r="AK65" s="17"/>
      <c r="AQ65" s="79"/>
      <c r="AR65" s="80"/>
      <c r="AS65" s="80"/>
      <c r="AT65" s="80"/>
      <c r="AU65" s="146">
        <f>SUM(AU61:AU64)</f>
        <v>4375000</v>
      </c>
      <c r="AV65" s="80"/>
      <c r="AW65" s="80"/>
      <c r="AX65" s="80"/>
      <c r="AY65" s="80"/>
      <c r="AZ65" s="80"/>
      <c r="BA65" s="81"/>
    </row>
    <row r="66" spans="1:55" x14ac:dyDescent="0.25">
      <c r="E66" s="4"/>
      <c r="F66" s="184">
        <v>1800</v>
      </c>
      <c r="G66" s="183">
        <f>G35</f>
        <v>0.25</v>
      </c>
      <c r="H66" s="25">
        <f>E64</f>
        <v>0</v>
      </c>
      <c r="I66" s="48">
        <f>inputs!$B$11*H66/(0.65*G66^2)</f>
        <v>0</v>
      </c>
      <c r="J66" s="48">
        <f t="shared" si="37"/>
        <v>0</v>
      </c>
      <c r="K66" s="48">
        <f t="shared" si="39"/>
        <v>0</v>
      </c>
      <c r="L66" s="5">
        <f>L35</f>
        <v>30468.75</v>
      </c>
      <c r="M66" s="50">
        <f t="shared" si="40"/>
        <v>0</v>
      </c>
      <c r="N66" s="9">
        <f t="shared" si="38"/>
        <v>0</v>
      </c>
      <c r="O66" s="9">
        <f t="shared" si="41"/>
        <v>0</v>
      </c>
      <c r="P66" s="9"/>
      <c r="Q66" s="9"/>
      <c r="R66" s="9"/>
      <c r="T66" s="9"/>
      <c r="U66" s="9"/>
      <c r="V66" s="9"/>
      <c r="W66" s="9"/>
      <c r="X66" s="192"/>
      <c r="Z66"/>
      <c r="AG66" s="192"/>
      <c r="AH66" s="17"/>
      <c r="AI66" s="17"/>
      <c r="AJ66" s="17"/>
      <c r="AK66" s="17"/>
    </row>
    <row r="67" spans="1:55" x14ac:dyDescent="0.25">
      <c r="A67" s="7" t="s">
        <v>280</v>
      </c>
      <c r="E67" s="4">
        <v>0</v>
      </c>
      <c r="F67" s="184">
        <f t="shared" ref="F67:G69" si="42">F39</f>
        <v>2600</v>
      </c>
      <c r="G67" s="183">
        <f t="shared" si="42"/>
        <v>0.2</v>
      </c>
      <c r="H67" s="25">
        <f>MIN(1,MAX(K69)*(1.95*G67^2)/inputs!$B$11)</f>
        <v>0</v>
      </c>
      <c r="I67" s="48">
        <f>inputs!$B$11*H67/(0.65*G67^2)</f>
        <v>0</v>
      </c>
      <c r="J67" s="48">
        <f t="shared" si="37"/>
        <v>0</v>
      </c>
      <c r="K67" s="48">
        <f t="shared" si="39"/>
        <v>0</v>
      </c>
      <c r="L67" s="5">
        <f>L39</f>
        <v>41015.625</v>
      </c>
      <c r="M67" s="50">
        <f t="shared" si="40"/>
        <v>0</v>
      </c>
      <c r="N67" s="9">
        <f t="shared" si="38"/>
        <v>0</v>
      </c>
      <c r="O67" s="9">
        <f t="shared" si="41"/>
        <v>0</v>
      </c>
      <c r="P67" s="9">
        <f>(IF(I67=0,0,($AK$36*((M67+M68+M69)/$M$78))/I67))*8*1024*1024/30/24/60/60</f>
        <v>0</v>
      </c>
      <c r="Q67" s="9">
        <f>(IF(I67=0,0,(($AK$36)*((M67+M68+M69)/$M$78)/2)/(inputs!$G$11*I67)))*8*1024*1024/30/24/60/60</f>
        <v>0</v>
      </c>
      <c r="R67" s="9">
        <f>(IF(I67=0,0,(($AI$36/2/(1+inputs!$F$16))*((M67+M68+M69)/$M$78))/((1-inputs!$G$11)*I67)))*8*1024*1024/30/24/60/60</f>
        <v>0</v>
      </c>
      <c r="T67" s="9">
        <f>(W67*inputs!$F$11/inputs!$F$6/24)/(1+$AI$28)</f>
        <v>7.9622210067722667</v>
      </c>
      <c r="U67" s="9">
        <f>IF(I67=0,0,(0.5*T67)/(inputs!$G$11))</f>
        <v>0</v>
      </c>
      <c r="V67" s="9">
        <f>IF(I67=0,0,(0.5*T67*I67)/((1-inputs!$G$11)*I67))</f>
        <v>0</v>
      </c>
      <c r="W67" s="9">
        <f>(L67+L68+L69)/1024</f>
        <v>120.1629638671875</v>
      </c>
      <c r="X67" s="192"/>
      <c r="Y67" s="19">
        <f>inputs!$L$64</f>
        <v>0.5</v>
      </c>
      <c r="Z67" s="7">
        <f>inputs!$K$64</f>
        <v>2000</v>
      </c>
      <c r="AA67" s="7">
        <f>Y67*Z67*(1-$AK$52)</f>
        <v>933.73814401272034</v>
      </c>
      <c r="AB67" s="7">
        <f>Z67*$AK$52</f>
        <v>132.52371197455926</v>
      </c>
      <c r="AC67" s="7">
        <f>Y67*Z67</f>
        <v>1000</v>
      </c>
      <c r="AD67" s="7">
        <f>(Z67-Y67*Z67)*$AK$52</f>
        <v>66.261855987279631</v>
      </c>
      <c r="AE67" s="7">
        <f>AA67+AB67</f>
        <v>1066.2618559872797</v>
      </c>
      <c r="AF67" s="7">
        <f>(AE67*K67)*24*30/1000/1000/1000</f>
        <v>0</v>
      </c>
      <c r="AG67" s="192"/>
      <c r="AH67" s="17"/>
      <c r="AI67" s="17"/>
      <c r="AJ67" s="17"/>
      <c r="AK67" s="17"/>
      <c r="AQ67" s="76" t="s">
        <v>65</v>
      </c>
      <c r="AR67" s="77"/>
      <c r="AS67" s="77"/>
      <c r="AT67" s="77"/>
      <c r="AU67" s="77"/>
      <c r="AV67" s="77"/>
      <c r="AW67" s="77"/>
      <c r="AX67" s="77"/>
      <c r="AY67" s="77"/>
      <c r="AZ67" s="77"/>
      <c r="BA67" s="77"/>
      <c r="BB67" s="77"/>
      <c r="BC67" s="125"/>
    </row>
    <row r="68" spans="1:55" x14ac:dyDescent="0.25">
      <c r="B68" s="7" t="s">
        <v>333</v>
      </c>
      <c r="E68" s="4"/>
      <c r="F68" s="184">
        <f t="shared" si="42"/>
        <v>2100</v>
      </c>
      <c r="G68" s="183">
        <f t="shared" si="42"/>
        <v>0.23</v>
      </c>
      <c r="H68" s="25">
        <f>MIN(1,K69*(1.95*G68^2)/inputs!$B$11)</f>
        <v>0</v>
      </c>
      <c r="I68" s="48">
        <f>inputs!$B$11*H68/(0.65*G68^2)</f>
        <v>0</v>
      </c>
      <c r="J68" s="48">
        <f t="shared" si="37"/>
        <v>0</v>
      </c>
      <c r="K68" s="48">
        <f t="shared" si="39"/>
        <v>0</v>
      </c>
      <c r="L68" s="5">
        <f>L40</f>
        <v>41015.625</v>
      </c>
      <c r="M68" s="50">
        <f t="shared" si="40"/>
        <v>0</v>
      </c>
      <c r="N68" s="9">
        <f t="shared" si="38"/>
        <v>0</v>
      </c>
      <c r="O68" s="9">
        <f t="shared" si="41"/>
        <v>0</v>
      </c>
      <c r="P68" s="9"/>
      <c r="Q68" s="9"/>
      <c r="R68" s="9"/>
      <c r="T68" s="9"/>
      <c r="U68" s="9"/>
      <c r="V68" s="9"/>
      <c r="W68" s="9"/>
      <c r="X68" s="192"/>
      <c r="Z68"/>
      <c r="AG68" s="192"/>
      <c r="AH68" s="17"/>
      <c r="AI68" s="17"/>
      <c r="AJ68" s="17"/>
      <c r="AK68" s="17"/>
      <c r="AQ68" s="75"/>
      <c r="AR68" s="63"/>
      <c r="AS68" s="63"/>
      <c r="AT68" s="63"/>
      <c r="AU68" s="63"/>
      <c r="AV68" s="63" t="s">
        <v>144</v>
      </c>
      <c r="AW68" s="69"/>
      <c r="AX68" s="69"/>
      <c r="AY68" s="6"/>
      <c r="AZ68" s="63"/>
      <c r="BA68" s="63"/>
      <c r="BB68" s="63"/>
      <c r="BC68" s="78"/>
    </row>
    <row r="69" spans="1:55" x14ac:dyDescent="0.25">
      <c r="E69" s="4"/>
      <c r="F69" s="184">
        <f t="shared" si="42"/>
        <v>1800</v>
      </c>
      <c r="G69" s="183">
        <f t="shared" si="42"/>
        <v>0.25</v>
      </c>
      <c r="H69" s="25">
        <f>E67</f>
        <v>0</v>
      </c>
      <c r="I69" s="48">
        <f>inputs!$B$11*H69/(0.65*G69^2)</f>
        <v>0</v>
      </c>
      <c r="J69" s="48">
        <f t="shared" si="37"/>
        <v>0</v>
      </c>
      <c r="K69" s="48">
        <f t="shared" si="39"/>
        <v>0</v>
      </c>
      <c r="L69" s="5">
        <f>L41</f>
        <v>41015.625</v>
      </c>
      <c r="M69" s="50">
        <f t="shared" si="40"/>
        <v>0</v>
      </c>
      <c r="N69" s="9">
        <f t="shared" si="38"/>
        <v>0</v>
      </c>
      <c r="O69" s="9">
        <f t="shared" si="41"/>
        <v>0</v>
      </c>
      <c r="P69" s="9"/>
      <c r="Q69" s="9"/>
      <c r="R69" s="9"/>
      <c r="T69" s="9"/>
      <c r="U69" s="9"/>
      <c r="V69" s="9"/>
      <c r="W69" s="9"/>
      <c r="X69" s="192"/>
      <c r="Z69"/>
      <c r="AG69" s="192"/>
      <c r="AH69" s="17"/>
      <c r="AI69" s="17"/>
      <c r="AJ69" s="17"/>
      <c r="AK69" s="17"/>
      <c r="AQ69" s="75"/>
      <c r="AR69" s="63" t="s">
        <v>110</v>
      </c>
      <c r="AS69" s="63" t="s">
        <v>93</v>
      </c>
      <c r="AT69" s="63" t="s">
        <v>111</v>
      </c>
      <c r="AU69" s="63"/>
      <c r="AV69" s="133">
        <f>AV7</f>
        <v>10</v>
      </c>
      <c r="AW69" s="137"/>
      <c r="AX69" s="138"/>
      <c r="AY69" s="138"/>
      <c r="AZ69" s="63"/>
      <c r="BA69" s="63"/>
      <c r="BB69" s="63"/>
      <c r="BC69" s="78"/>
    </row>
    <row r="70" spans="1:55" x14ac:dyDescent="0.25">
      <c r="A70" s="7" t="s">
        <v>281</v>
      </c>
      <c r="E70" s="4">
        <v>1</v>
      </c>
      <c r="F70" s="184">
        <v>2600</v>
      </c>
      <c r="G70" s="183">
        <f>G45</f>
        <v>0.2</v>
      </c>
      <c r="H70" s="25">
        <f>MIN(1,MAX(K72)*(1.95*G70^2)/inputs!$B$11)</f>
        <v>0.64133333333333342</v>
      </c>
      <c r="I70" s="48">
        <f>inputs!$B$11*H70/(0.65*G70^2)</f>
        <v>222</v>
      </c>
      <c r="J70" s="48">
        <f t="shared" si="37"/>
        <v>222</v>
      </c>
      <c r="K70" s="48">
        <f t="shared" si="39"/>
        <v>74</v>
      </c>
      <c r="L70" s="5">
        <f>L45</f>
        <v>48828.125</v>
      </c>
      <c r="M70" s="50">
        <f t="shared" si="40"/>
        <v>10839843.75</v>
      </c>
      <c r="N70" s="9">
        <f t="shared" si="38"/>
        <v>10585.784912109375</v>
      </c>
      <c r="O70" s="9">
        <f t="shared" si="41"/>
        <v>10585.784912109375</v>
      </c>
      <c r="P70" s="9">
        <f>(IF(I70=0,0,($AK$36*((M70+M71+M72)/$M$78))/I70))*8*1024*1024/30/24/60/60</f>
        <v>9.478834531871744</v>
      </c>
      <c r="Q70" s="9">
        <f>(IF(I70=0,0,(($AK$36)*((M70+M71+M72)/$M$78)/2)/(inputs!$G$11*I70)))*8*1024*1024/30/24/60/60</f>
        <v>31.596115106239143</v>
      </c>
      <c r="R70" s="9">
        <f>(IF(I70=0,0,(($AI$36/2/(1+inputs!$F$16))*((M70+M71+M72)/$M$78))/((1-inputs!$G$11)*I70)))*8*1024*1024/30/24/60/60</f>
        <v>5.5757850187480837</v>
      </c>
      <c r="T70" s="9">
        <f>(W70*inputs!$F$11/inputs!$F$6/24)/(1+$AI$28)</f>
        <v>9.4788345318717457</v>
      </c>
      <c r="U70" s="9">
        <f>IF(I70=0,0,(0.5*T70)/(inputs!$G$11))</f>
        <v>31.596115106239154</v>
      </c>
      <c r="V70" s="9">
        <f>IF(I70=0,0,(0.5*T70*I70)/((1-inputs!$G$11)*I70))</f>
        <v>5.5757850187480864</v>
      </c>
      <c r="W70" s="9">
        <f>(L70+L71+L72)/1024</f>
        <v>143.0511474609375</v>
      </c>
      <c r="X70" s="192"/>
      <c r="Y70" s="19">
        <f>inputs!$L$65</f>
        <v>0.5</v>
      </c>
      <c r="Z70" s="7">
        <f>inputs!$K$65</f>
        <v>2000</v>
      </c>
      <c r="AA70" s="7">
        <f>Y70*Z70*(1-$AK$52)</f>
        <v>933.73814401272034</v>
      </c>
      <c r="AB70" s="7">
        <f>Z70*$AK$52</f>
        <v>132.52371197455926</v>
      </c>
      <c r="AC70" s="7">
        <f>Y70*Z70</f>
        <v>1000</v>
      </c>
      <c r="AD70" s="7">
        <f>(Z70-Y70*Z70)*$AK$52</f>
        <v>66.261855987279631</v>
      </c>
      <c r="AE70" s="7">
        <f>AA70+AB70</f>
        <v>1066.2618559872797</v>
      </c>
      <c r="AF70" s="7">
        <f>(AE70*K70)*24*30/1000/1000/1000</f>
        <v>5.6810431687002248E-2</v>
      </c>
      <c r="AG70" s="192"/>
      <c r="AH70" s="17"/>
      <c r="AI70" s="17"/>
      <c r="AJ70" s="17"/>
      <c r="AK70" s="17"/>
      <c r="AQ70" s="75"/>
      <c r="AR70" s="63"/>
      <c r="AS70" s="63" t="s">
        <v>94</v>
      </c>
      <c r="AT70" s="63" t="s">
        <v>111</v>
      </c>
      <c r="AU70" s="63"/>
      <c r="AV70" s="133">
        <f>AV8</f>
        <v>81</v>
      </c>
      <c r="AW70" s="137"/>
      <c r="AX70" s="138"/>
      <c r="AY70" s="138"/>
      <c r="AZ70" s="63"/>
      <c r="BA70" s="63"/>
      <c r="BB70" s="63"/>
      <c r="BC70" s="78"/>
    </row>
    <row r="71" spans="1:55" x14ac:dyDescent="0.25">
      <c r="B71" s="7" t="s">
        <v>334</v>
      </c>
      <c r="E71" s="4"/>
      <c r="F71" s="184">
        <v>2100</v>
      </c>
      <c r="G71" s="183">
        <f>G46</f>
        <v>0.23</v>
      </c>
      <c r="H71" s="25">
        <f>MIN(1,K72*(1.95*G71^2)/inputs!$B$11)</f>
        <v>0.84816333333333338</v>
      </c>
      <c r="I71" s="48">
        <f>inputs!$B$11*H71/(0.65*G71^2)</f>
        <v>222</v>
      </c>
      <c r="J71" s="48">
        <f t="shared" si="37"/>
        <v>222</v>
      </c>
      <c r="K71" s="48">
        <f t="shared" si="39"/>
        <v>74</v>
      </c>
      <c r="L71" s="5">
        <f>L46</f>
        <v>48828.125</v>
      </c>
      <c r="M71" s="50">
        <f t="shared" si="40"/>
        <v>10839843.75</v>
      </c>
      <c r="N71" s="9">
        <f t="shared" si="38"/>
        <v>10585.784912109375</v>
      </c>
      <c r="O71" s="9">
        <f t="shared" si="41"/>
        <v>10585.784912109375</v>
      </c>
      <c r="P71" s="9"/>
      <c r="Q71" s="9"/>
      <c r="R71" s="9"/>
      <c r="T71" s="9"/>
      <c r="U71" s="9"/>
      <c r="V71" s="9"/>
      <c r="W71" s="9"/>
      <c r="X71" s="192"/>
      <c r="Z71"/>
      <c r="AG71" s="192"/>
      <c r="AH71" s="17"/>
      <c r="AI71" s="17"/>
      <c r="AJ71" s="17"/>
      <c r="AK71" s="17"/>
      <c r="AQ71" s="75"/>
      <c r="AR71" s="63"/>
      <c r="AS71" s="63" t="s">
        <v>95</v>
      </c>
      <c r="AT71" s="63" t="s">
        <v>111</v>
      </c>
      <c r="AU71" s="63"/>
      <c r="AV71" s="133">
        <f>AV9</f>
        <v>3</v>
      </c>
      <c r="AW71" s="137"/>
      <c r="AX71" s="138"/>
      <c r="AY71" s="138"/>
      <c r="AZ71" s="63"/>
      <c r="BA71" s="63"/>
      <c r="BB71" s="63"/>
      <c r="BC71" s="78"/>
    </row>
    <row r="72" spans="1:55" x14ac:dyDescent="0.25">
      <c r="E72" s="4"/>
      <c r="F72" s="184">
        <v>1800</v>
      </c>
      <c r="G72" s="183">
        <f>G47</f>
        <v>0.25</v>
      </c>
      <c r="H72" s="25">
        <f>E70</f>
        <v>1</v>
      </c>
      <c r="I72" s="48">
        <f>inputs!$B$11*H72/(0.65*G72^2)</f>
        <v>221.53846153846152</v>
      </c>
      <c r="J72" s="48">
        <f t="shared" si="37"/>
        <v>222</v>
      </c>
      <c r="K72" s="48">
        <f t="shared" si="39"/>
        <v>74</v>
      </c>
      <c r="L72" s="5">
        <f>L47</f>
        <v>48828.125</v>
      </c>
      <c r="M72" s="50">
        <f t="shared" si="40"/>
        <v>10839843.75</v>
      </c>
      <c r="N72" s="9">
        <f t="shared" si="38"/>
        <v>10585.784912109375</v>
      </c>
      <c r="O72" s="9">
        <f t="shared" si="41"/>
        <v>10585.784912109375</v>
      </c>
      <c r="P72" s="9"/>
      <c r="Q72" s="9"/>
      <c r="R72" s="9"/>
      <c r="T72" s="9"/>
      <c r="U72" s="9"/>
      <c r="V72" s="9"/>
      <c r="W72" s="9"/>
      <c r="X72" s="192"/>
      <c r="Z72"/>
      <c r="AG72" s="192"/>
      <c r="AH72" s="17"/>
      <c r="AI72" s="17"/>
      <c r="AJ72" s="17"/>
      <c r="AK72" s="17"/>
      <c r="AQ72" s="75"/>
      <c r="AR72" s="63"/>
      <c r="AS72" s="63" t="s">
        <v>96</v>
      </c>
      <c r="AT72" s="63" t="s">
        <v>111</v>
      </c>
      <c r="AU72" s="63"/>
      <c r="AV72" s="133">
        <f>AV10</f>
        <v>20</v>
      </c>
      <c r="AW72" s="137"/>
      <c r="AX72" s="138"/>
      <c r="AY72" s="138"/>
      <c r="AZ72" s="63"/>
      <c r="BA72" s="63"/>
      <c r="BB72" s="63"/>
      <c r="BC72" s="78"/>
    </row>
    <row r="73" spans="1:55" x14ac:dyDescent="0.25">
      <c r="A73" s="7" t="s">
        <v>282</v>
      </c>
      <c r="E73" s="4">
        <v>0</v>
      </c>
      <c r="F73" s="184">
        <v>2600</v>
      </c>
      <c r="G73" s="183">
        <f>G45</f>
        <v>0.2</v>
      </c>
      <c r="H73" s="25">
        <f>MIN(1,MAX(K77)*(1.95*G73^2)/inputs!$B$11)</f>
        <v>0</v>
      </c>
      <c r="I73" s="48">
        <f>inputs!$B$11*H73/(0.65*G73^2)</f>
        <v>0</v>
      </c>
      <c r="J73" s="48">
        <f t="shared" si="37"/>
        <v>0</v>
      </c>
      <c r="K73" s="48">
        <f t="shared" si="39"/>
        <v>0</v>
      </c>
      <c r="L73" s="5">
        <f>L45</f>
        <v>48828.125</v>
      </c>
      <c r="M73" s="50">
        <f t="shared" si="40"/>
        <v>0</v>
      </c>
      <c r="N73" s="9">
        <f t="shared" si="38"/>
        <v>0</v>
      </c>
      <c r="O73" s="9">
        <f t="shared" si="41"/>
        <v>0</v>
      </c>
      <c r="P73" s="9">
        <f>(IF(I73=0,0,($AK$36*((M73+M74+M75+M76+M77)/$M$78))/I73))*8*1024*1024/30/24/60/60</f>
        <v>0</v>
      </c>
      <c r="Q73" s="9">
        <f>(IF(I73=0,0,(($AK$36)*((M73+M74+M75+M76+M77)/$M$78)/2)/(inputs!$G$11*I73)))*8*1024*1024/30/24/60/60</f>
        <v>0</v>
      </c>
      <c r="R73" s="9">
        <f>(IF(I73=0,0,(($AI$36/2/(1+inputs!$F$16))*((M73+M74+M75+M76+M77)/$M$78))/((1-inputs!$G$11)*I73)))*8*1024*1024/30/24/60/60</f>
        <v>0</v>
      </c>
      <c r="T73" s="9">
        <f>(W73*inputs!$F$11/inputs!$F$6/24)/(1+$AI$28)</f>
        <v>12.63844604249566</v>
      </c>
      <c r="U73" s="9">
        <f>IF(I73=0,0,(0.5*T73)/(inputs!$G$11))</f>
        <v>0</v>
      </c>
      <c r="V73" s="9">
        <f>IF(I73=0,0,(0.5*T73*I73)/((1-inputs!$G$11)*I73))</f>
        <v>0</v>
      </c>
      <c r="W73" s="9">
        <f>(L73+L74+L75+L76+L77)/1024</f>
        <v>190.73486328125</v>
      </c>
      <c r="Y73" s="19">
        <f>inputs!$L$66</f>
        <v>0.5</v>
      </c>
      <c r="Z73" s="7">
        <f>inputs!$K$66</f>
        <v>3000</v>
      </c>
      <c r="AA73" s="7">
        <f>Y73*Z73*(1-$AK$52)</f>
        <v>1400.6072160190806</v>
      </c>
      <c r="AB73" s="7">
        <f>Z73*$AK$52</f>
        <v>198.78556796183889</v>
      </c>
      <c r="AC73" s="7">
        <f>Y73*Z73</f>
        <v>1500</v>
      </c>
      <c r="AD73" s="7">
        <f>(Z73-Y73*Z73)*$AK$52</f>
        <v>99.392783980919447</v>
      </c>
      <c r="AE73" s="7">
        <f>AA73+AB73</f>
        <v>1599.3927839809196</v>
      </c>
      <c r="AF73" s="7">
        <f>(AE73*K73)*24*30/1000/1000/1000</f>
        <v>0</v>
      </c>
      <c r="AG73" s="192"/>
      <c r="AH73" s="17"/>
      <c r="AI73" s="17"/>
      <c r="AJ73" s="17"/>
      <c r="AK73" s="17"/>
      <c r="AQ73" s="75"/>
      <c r="AR73" s="40" t="s">
        <v>66</v>
      </c>
      <c r="AS73" s="40" t="s">
        <v>112</v>
      </c>
      <c r="AT73" s="40" t="s">
        <v>167</v>
      </c>
      <c r="AU73" s="63"/>
      <c r="AV73" s="133">
        <f>AE11+AE30+AE74+AE98</f>
        <v>6.6066724099691915E-2</v>
      </c>
      <c r="AW73" s="137"/>
      <c r="AX73" s="133">
        <f>AV73*1000*12</f>
        <v>792.80068919630298</v>
      </c>
      <c r="AY73" s="133"/>
      <c r="AZ73" s="63"/>
      <c r="BA73" s="63"/>
      <c r="BB73" s="63"/>
      <c r="BC73" s="78"/>
    </row>
    <row r="74" spans="1:55" x14ac:dyDescent="0.25">
      <c r="B74" s="7" t="s">
        <v>335</v>
      </c>
      <c r="F74" s="184">
        <v>2100</v>
      </c>
      <c r="G74" s="183">
        <f>G46</f>
        <v>0.23</v>
      </c>
      <c r="H74" s="25">
        <f>MIN(1,K77*(1.95*G74^2)/inputs!$B$11)</f>
        <v>0</v>
      </c>
      <c r="I74" s="48">
        <f>inputs!$B$11*H74/(0.65*G74^2)</f>
        <v>0</v>
      </c>
      <c r="J74" s="48">
        <f t="shared" si="37"/>
        <v>0</v>
      </c>
      <c r="K74" s="48">
        <f t="shared" si="39"/>
        <v>0</v>
      </c>
      <c r="L74" s="5">
        <f>L46</f>
        <v>48828.125</v>
      </c>
      <c r="M74" s="50">
        <f t="shared" si="40"/>
        <v>0</v>
      </c>
      <c r="N74" s="9">
        <f t="shared" si="38"/>
        <v>0</v>
      </c>
      <c r="O74" s="9">
        <f t="shared" si="41"/>
        <v>0</v>
      </c>
      <c r="P74" s="9"/>
      <c r="Q74" s="9"/>
      <c r="R74" s="9"/>
      <c r="T74" s="9"/>
      <c r="U74" s="9"/>
      <c r="V74" s="9"/>
      <c r="W74" s="9"/>
      <c r="X74" s="193"/>
      <c r="Z74"/>
      <c r="AA74" s="7">
        <f>(AA54*$K$54+AA56*$K$56+AA58*$K$58+AA61*$K$61+AA64*$K$64+AA67*$K$67+AA70*$K$70+AA73*$K$73)*24*30/1000/1000/1000</f>
        <v>4.9749568312997747E-2</v>
      </c>
      <c r="AB74" s="7">
        <f>(AB54*$K$54+AB56*$K$56+AB58*$K$58+AB61*$K$61+AB64*$K$64+AB67*$K$67+AB70*$K$70+AB73*$K$73)*24*30/1000/1000/1000</f>
        <v>7.060863374004518E-3</v>
      </c>
      <c r="AC74" s="7">
        <f>(AC54*$K$54+AC56*$K$56+AC58*$K$58+AC61*$K$61+AC64*$K$64+AC67*$K$67+AC70*$K$70+AC73*$K$73)*24*30/1000/1000/1000</f>
        <v>5.3280000000000001E-2</v>
      </c>
      <c r="AD74" s="7">
        <f>(AD54*$K$54+AD56*$K$56+AD58*$K$58+AD61*$K$61+AD64*$K$64+AD67*$K$67+AD70*$K$70+AD73*$K$73)*24*30/1000/1000/1000</f>
        <v>3.530431687002259E-3</v>
      </c>
      <c r="AE74" s="7">
        <f>(AE54*$K$54+AE67*$K$67)*24*30/1000/1000/1000</f>
        <v>0</v>
      </c>
      <c r="AF74" s="7">
        <f>SUM(AF54:AF73)</f>
        <v>5.6810431687002248E-2</v>
      </c>
      <c r="AG74" s="192"/>
      <c r="AH74" s="17"/>
      <c r="AI74" s="17"/>
      <c r="AJ74" s="17"/>
      <c r="AK74" s="17"/>
      <c r="AQ74" s="75"/>
      <c r="AR74" s="63" t="s">
        <v>68</v>
      </c>
      <c r="AS74" s="63"/>
      <c r="AT74" s="63" t="s">
        <v>69</v>
      </c>
      <c r="AU74" s="63"/>
      <c r="AV74" s="133">
        <v>2</v>
      </c>
      <c r="AW74" s="137"/>
      <c r="AX74" s="141"/>
      <c r="AY74" s="141"/>
      <c r="AZ74" s="63"/>
      <c r="BA74" s="63"/>
      <c r="BB74" s="63"/>
      <c r="BC74" s="78"/>
    </row>
    <row r="75" spans="1:55" x14ac:dyDescent="0.25">
      <c r="F75" s="184">
        <v>1800</v>
      </c>
      <c r="G75" s="183">
        <f>G47</f>
        <v>0.25</v>
      </c>
      <c r="H75" s="25">
        <f>MIN(1,K77*(1.95*G75^2)/inputs!$B$11)</f>
        <v>0</v>
      </c>
      <c r="I75" s="48">
        <f>inputs!$B$11*H75/(0.65*G75^2)</f>
        <v>0</v>
      </c>
      <c r="J75" s="48">
        <f t="shared" si="37"/>
        <v>0</v>
      </c>
      <c r="K75" s="48">
        <f t="shared" si="39"/>
        <v>0</v>
      </c>
      <c r="L75" s="5">
        <f>L47</f>
        <v>48828.125</v>
      </c>
      <c r="M75" s="50">
        <f t="shared" si="40"/>
        <v>0</v>
      </c>
      <c r="N75" s="9">
        <f t="shared" si="38"/>
        <v>0</v>
      </c>
      <c r="O75" s="9">
        <f t="shared" si="41"/>
        <v>0</v>
      </c>
      <c r="P75" s="9"/>
      <c r="Q75" s="9"/>
      <c r="R75" s="9"/>
      <c r="T75" s="9"/>
      <c r="U75" s="9"/>
      <c r="V75" s="9"/>
      <c r="W75" s="9"/>
      <c r="X75" s="192"/>
      <c r="Z75"/>
      <c r="AE75" s="7" t="s">
        <v>167</v>
      </c>
      <c r="AG75" s="192"/>
      <c r="AH75" s="17"/>
      <c r="AI75" s="17"/>
      <c r="AJ75" s="17"/>
      <c r="AK75" s="17"/>
      <c r="AQ75" s="75"/>
      <c r="AR75" s="63" t="s">
        <v>70</v>
      </c>
      <c r="AS75" s="63"/>
      <c r="AT75" s="63" t="s">
        <v>71</v>
      </c>
      <c r="AU75" s="63"/>
      <c r="AV75" s="133">
        <f>SUM(AV11:AV19)</f>
        <v>308.06779785156249</v>
      </c>
      <c r="AW75" s="137"/>
      <c r="AX75" s="137"/>
      <c r="AY75" s="137"/>
      <c r="AZ75" s="63"/>
      <c r="BA75" s="63"/>
      <c r="BB75" s="63"/>
      <c r="BC75" s="78"/>
    </row>
    <row r="76" spans="1:55" x14ac:dyDescent="0.25">
      <c r="F76" s="184">
        <v>900</v>
      </c>
      <c r="G76" s="183">
        <f>G48</f>
        <v>0.4</v>
      </c>
      <c r="H76" s="25">
        <f>MIN(1,K77*(1.95*G76^2)/inputs!$B$11)</f>
        <v>0</v>
      </c>
      <c r="I76" s="48">
        <f>inputs!$B$11*H76/(0.65*G76^2)</f>
        <v>0</v>
      </c>
      <c r="J76" s="48">
        <f t="shared" si="37"/>
        <v>0</v>
      </c>
      <c r="K76" s="48">
        <f t="shared" si="39"/>
        <v>0</v>
      </c>
      <c r="L76" s="5">
        <f>L48</f>
        <v>24414.0625</v>
      </c>
      <c r="M76" s="50">
        <f t="shared" si="40"/>
        <v>0</v>
      </c>
      <c r="N76" s="9">
        <f>M76/1024</f>
        <v>0</v>
      </c>
      <c r="O76" s="9">
        <f t="shared" si="41"/>
        <v>0</v>
      </c>
      <c r="P76" s="9"/>
      <c r="Q76" s="9"/>
      <c r="R76" s="9"/>
      <c r="S76" s="9"/>
      <c r="T76" s="9"/>
      <c r="U76" s="9"/>
      <c r="V76" s="9"/>
      <c r="W76" s="9"/>
      <c r="X76" s="192"/>
      <c r="Z76"/>
      <c r="AG76" s="192"/>
      <c r="AH76" s="17"/>
      <c r="AI76" s="17"/>
      <c r="AJ76" s="17"/>
      <c r="AK76" s="17"/>
      <c r="AQ76" s="75"/>
      <c r="AR76" s="63" t="s">
        <v>140</v>
      </c>
      <c r="AS76" s="63"/>
      <c r="AT76" s="63" t="s">
        <v>141</v>
      </c>
      <c r="AU76" s="63"/>
      <c r="AV76" s="133">
        <v>0</v>
      </c>
      <c r="AW76" s="137"/>
      <c r="AX76" s="141"/>
      <c r="AY76" s="141"/>
      <c r="AZ76" s="63"/>
      <c r="BA76" s="63"/>
      <c r="BB76" s="63"/>
      <c r="BC76" s="78"/>
    </row>
    <row r="77" spans="1:55" x14ac:dyDescent="0.25">
      <c r="F77" s="184">
        <v>800</v>
      </c>
      <c r="G77" s="183">
        <f>G49</f>
        <v>0.5</v>
      </c>
      <c r="H77" s="25">
        <f>E73</f>
        <v>0</v>
      </c>
      <c r="I77" s="48">
        <f>inputs!$B$11*H77/(0.65*G77^2)</f>
        <v>0</v>
      </c>
      <c r="J77" s="48">
        <f t="shared" si="37"/>
        <v>0</v>
      </c>
      <c r="K77" s="48">
        <f t="shared" si="39"/>
        <v>0</v>
      </c>
      <c r="L77" s="5">
        <f>L49</f>
        <v>24414.0625</v>
      </c>
      <c r="M77" s="50">
        <f t="shared" si="40"/>
        <v>0</v>
      </c>
      <c r="N77" s="9">
        <f t="shared" si="38"/>
        <v>0</v>
      </c>
      <c r="O77" s="9">
        <f t="shared" si="41"/>
        <v>0</v>
      </c>
      <c r="P77" s="9"/>
      <c r="Q77" s="9"/>
      <c r="R77" s="9"/>
      <c r="S77" s="9"/>
      <c r="T77" s="9"/>
      <c r="U77" s="9"/>
      <c r="V77" s="9"/>
      <c r="W77" s="9"/>
      <c r="X77" s="192"/>
      <c r="Z77"/>
      <c r="AG77" s="192"/>
      <c r="AH77" s="17"/>
      <c r="AI77" s="17"/>
      <c r="AJ77" s="17"/>
      <c r="AK77" s="17"/>
      <c r="AQ77" s="75"/>
      <c r="AR77" s="63"/>
      <c r="AS77" s="63" t="s">
        <v>143</v>
      </c>
      <c r="AT77" s="63">
        <v>800</v>
      </c>
      <c r="AU77" s="63" t="s">
        <v>303</v>
      </c>
      <c r="AV77" s="133">
        <v>20</v>
      </c>
      <c r="AW77" s="137"/>
      <c r="AX77" s="141"/>
      <c r="AY77" s="141"/>
      <c r="AZ77" s="63"/>
      <c r="BA77" s="63"/>
      <c r="BB77" s="63"/>
      <c r="BC77" s="78"/>
    </row>
    <row r="78" spans="1:55" x14ac:dyDescent="0.25">
      <c r="I78" s="49">
        <f>I55+I57+I60+I63+I66+I69+I72+I77</f>
        <v>221.53846153846152</v>
      </c>
      <c r="J78" s="49">
        <f>J55+J57+J60+J63+J66+J69+J72+J77</f>
        <v>222</v>
      </c>
      <c r="K78" s="49">
        <f>ROUNDUP(K55+K57+K60+K63+K66+K69+K72+K77,0)</f>
        <v>74</v>
      </c>
      <c r="M78" s="11">
        <f>SUM(M54:M77)</f>
        <v>32519531.25</v>
      </c>
      <c r="N78" s="7">
        <f t="shared" si="38"/>
        <v>31757.354736328125</v>
      </c>
      <c r="O78" s="49">
        <f>SUM(O54:O77)</f>
        <v>31757.354736328125</v>
      </c>
      <c r="Q78" s="7" t="s">
        <v>349</v>
      </c>
      <c r="R78" s="7" t="s">
        <v>350</v>
      </c>
      <c r="AG78" s="192"/>
      <c r="AH78" s="17"/>
      <c r="AI78" s="17"/>
      <c r="AJ78" s="17"/>
      <c r="AK78" s="17"/>
      <c r="AQ78" s="75"/>
      <c r="AR78" s="63" t="s">
        <v>140</v>
      </c>
      <c r="AS78" s="63"/>
      <c r="AT78" s="63" t="s">
        <v>141</v>
      </c>
      <c r="AV78" s="133">
        <v>0</v>
      </c>
      <c r="AW78" s="137"/>
      <c r="AX78" s="141"/>
      <c r="AY78" s="141"/>
      <c r="AZ78" s="63"/>
      <c r="BA78" s="63"/>
      <c r="BB78" s="63"/>
      <c r="BC78" s="78"/>
    </row>
    <row r="79" spans="1:55" x14ac:dyDescent="0.25">
      <c r="B79" s="7" t="s">
        <v>285</v>
      </c>
      <c r="L79" s="20"/>
      <c r="M79" s="20"/>
      <c r="N79" s="7">
        <f t="shared" si="38"/>
        <v>0</v>
      </c>
      <c r="P79" s="7" t="s">
        <v>353</v>
      </c>
      <c r="Q79" s="7" t="s">
        <v>348</v>
      </c>
      <c r="T79" s="9" t="s">
        <v>351</v>
      </c>
      <c r="X79" s="192"/>
      <c r="Z79"/>
      <c r="AG79" s="192"/>
      <c r="AH79" s="17"/>
      <c r="AI79" s="17"/>
      <c r="AJ79" s="17"/>
      <c r="AK79" s="17"/>
      <c r="AQ79" s="75"/>
      <c r="AR79" s="63"/>
      <c r="AS79" s="63" t="s">
        <v>143</v>
      </c>
      <c r="AT79" s="63">
        <v>700</v>
      </c>
      <c r="AU79" s="63" t="s">
        <v>304</v>
      </c>
      <c r="AV79" s="133">
        <v>20</v>
      </c>
      <c r="AW79" s="137"/>
      <c r="AX79" s="141"/>
      <c r="AY79" s="141"/>
      <c r="AZ79" s="63"/>
      <c r="BA79" s="63"/>
      <c r="BB79" s="63"/>
      <c r="BC79" s="78"/>
    </row>
    <row r="80" spans="1:55" x14ac:dyDescent="0.25">
      <c r="A80" s="7">
        <v>20</v>
      </c>
      <c r="B80" s="181" t="s">
        <v>246</v>
      </c>
      <c r="F80" s="184">
        <v>2600</v>
      </c>
      <c r="G80" s="183">
        <f t="shared" ref="G80:G97" si="43">G33</f>
        <v>0.2</v>
      </c>
      <c r="H80" s="4">
        <v>0.36</v>
      </c>
      <c r="I80" s="48">
        <f>inputs!$B$11*H80/(0.65*G80^2)</f>
        <v>124.61538461538458</v>
      </c>
      <c r="J80" s="48">
        <f t="shared" ref="J80:J97" si="44">ROUNDUP(I80,0)</f>
        <v>125</v>
      </c>
      <c r="K80" s="48">
        <f>ROUNDUP(J80/3,0)</f>
        <v>42</v>
      </c>
      <c r="L80" s="5">
        <f t="shared" ref="L80:L97" si="45">L33</f>
        <v>30468.75</v>
      </c>
      <c r="M80" s="50">
        <f>3*L80*K80</f>
        <v>3839062.5</v>
      </c>
      <c r="N80" s="9">
        <f>M80/1024</f>
        <v>3749.08447265625</v>
      </c>
      <c r="O80" s="9">
        <f>J80*L80/1024</f>
        <v>3719.329833984375</v>
      </c>
      <c r="P80" s="9">
        <f>(IF(I80=0,0,($AK$35*(M80/$M$98))/J80))*8*1024*1024/30/24/60/60</f>
        <v>1.9657685115154619</v>
      </c>
      <c r="Q80" s="9">
        <f>(IF(I80=0,0,(($AK$35)*(M80/$M$98)/2)/(inputs!$G$11*I80)))*8*1024*1024/30/24/60/60</f>
        <v>6.5727856609313307</v>
      </c>
      <c r="R80" s="9">
        <f>(IF(I80=0,0,(($AI$35/2/(1+inputs!$F$16))*(M80/$M$98))/((1-inputs!$G$11)*I80)))*8*1024*1024/30/24/60/60</f>
        <v>1.1599033519290585</v>
      </c>
      <c r="S80" s="7">
        <f>P80*J80</f>
        <v>245.72106393943275</v>
      </c>
      <c r="T80" s="9">
        <f>(W80*inputs!$F$11/inputs!$F$6/24)/(1+$AI$28)</f>
        <v>1.9715975826293233</v>
      </c>
      <c r="U80" s="9">
        <f>(0.5*T80)/(inputs!$G$11)</f>
        <v>6.5719919420977444</v>
      </c>
      <c r="V80" s="9">
        <f>IF(I80=0,0,0.5*T80/(1-inputs!$G$11))</f>
        <v>1.1597632838996019</v>
      </c>
      <c r="W80" s="9">
        <f>L80/1024</f>
        <v>29.754638671875</v>
      </c>
      <c r="X80" s="192"/>
      <c r="Y80" s="19">
        <f>inputs!$L$58</f>
        <v>0.5</v>
      </c>
      <c r="Z80" s="7">
        <f>inputs!$K$58</f>
        <v>1000</v>
      </c>
      <c r="AA80" s="7">
        <f t="shared" ref="AA80:AA97" si="46">Y80*Z80*(1-$AK$52)</f>
        <v>466.86907200636017</v>
      </c>
      <c r="AB80" s="7">
        <f t="shared" ref="AB80:AB97" si="47">Z80*$AK$52</f>
        <v>66.261855987279631</v>
      </c>
      <c r="AC80" s="7">
        <f>Y80*Z80</f>
        <v>500</v>
      </c>
      <c r="AD80" s="7">
        <f t="shared" ref="AD80:AD97" si="48">(Z80-Y80*Z80)*$AK$52</f>
        <v>33.130927993639816</v>
      </c>
      <c r="AE80" s="7">
        <f>AA80+AB80</f>
        <v>533.13092799363983</v>
      </c>
      <c r="AF80" s="7">
        <f>(AE80*K80)*24*30/1000/1000/1000</f>
        <v>1.6121879262527672E-2</v>
      </c>
      <c r="AG80" s="192"/>
      <c r="AH80" s="17"/>
      <c r="AI80" s="17"/>
      <c r="AJ80" s="17"/>
      <c r="AK80" s="17"/>
      <c r="AQ80" s="75"/>
      <c r="AZ80" s="63"/>
      <c r="BA80" s="63"/>
      <c r="BB80" s="63"/>
      <c r="BC80" s="78"/>
    </row>
    <row r="81" spans="1:55" x14ac:dyDescent="0.25">
      <c r="A81" s="7">
        <v>21</v>
      </c>
      <c r="B81" s="181" t="s">
        <v>247</v>
      </c>
      <c r="F81" s="184">
        <v>2100</v>
      </c>
      <c r="G81" s="183">
        <f t="shared" si="43"/>
        <v>0.23</v>
      </c>
      <c r="H81" s="4">
        <v>0</v>
      </c>
      <c r="I81" s="48">
        <f>inputs!$B$11*H81/(0.65*G81^2)</f>
        <v>0</v>
      </c>
      <c r="J81" s="48">
        <f t="shared" si="44"/>
        <v>0</v>
      </c>
      <c r="K81" s="48">
        <f t="shared" ref="K81:K97" si="49">ROUNDUP(J81/3,0)</f>
        <v>0</v>
      </c>
      <c r="L81" s="5">
        <f t="shared" si="45"/>
        <v>30468.75</v>
      </c>
      <c r="M81" s="50">
        <f t="shared" ref="M81:M97" si="50">3*L81*K81</f>
        <v>0</v>
      </c>
      <c r="N81" s="9">
        <f t="shared" ref="N81:N97" si="51">M81/1024</f>
        <v>0</v>
      </c>
      <c r="O81" s="9">
        <f t="shared" ref="O81:O97" si="52">J81*L81/1024</f>
        <v>0</v>
      </c>
      <c r="P81" s="9">
        <f t="shared" ref="P81:P97" si="53">(IF(I81=0,0,($AK$35*(M81/$M$98))/I81))*8*1024*1024/30/24/60/60</f>
        <v>0</v>
      </c>
      <c r="Q81" s="9">
        <f>(IF(I81=0,0,(($AK$35/2)*(M81/$M$98))/(inputs!$G$11*I81)))*8*1024*1024/30/24/60/60</f>
        <v>0</v>
      </c>
      <c r="R81" s="9">
        <f>(IF(I81=0,0,(($AI$35/2/(1+inputs!$F$16))*(M81/$M$98))/((1-inputs!$G$11)*I81)))*8*1024*1024/30/24/60/60</f>
        <v>0</v>
      </c>
      <c r="S81" s="7">
        <f t="shared" ref="S81:S96" si="54">P81*J81</f>
        <v>0</v>
      </c>
      <c r="T81" s="9">
        <f>(W81*inputs!$F$11/inputs!$F$6/24)/(1+$AI$28)</f>
        <v>1.9715975826293233</v>
      </c>
      <c r="U81" s="9">
        <f>IF(I81=0,0,(0.5*T81*I81)/(inputs!$G$11*I81))</f>
        <v>0</v>
      </c>
      <c r="V81" s="9">
        <f>IF(I81=0,0,0.5*T81/(1-inputs!$G$11))</f>
        <v>0</v>
      </c>
      <c r="W81" s="9">
        <f t="shared" ref="W81:W96" si="55">L81/1024</f>
        <v>29.754638671875</v>
      </c>
      <c r="X81" s="192"/>
      <c r="Y81" s="19">
        <f>inputs!$L$58</f>
        <v>0.5</v>
      </c>
      <c r="Z81" s="7">
        <f>inputs!$K$58</f>
        <v>1000</v>
      </c>
      <c r="AA81" s="7">
        <f t="shared" si="46"/>
        <v>466.86907200636017</v>
      </c>
      <c r="AB81" s="7">
        <f t="shared" si="47"/>
        <v>66.261855987279631</v>
      </c>
      <c r="AC81" s="7">
        <f t="shared" ref="AC81:AC97" si="56">Y81*Z81</f>
        <v>500</v>
      </c>
      <c r="AD81" s="7">
        <f t="shared" si="48"/>
        <v>33.130927993639816</v>
      </c>
      <c r="AE81" s="7">
        <f t="shared" ref="AE81:AE97" si="57">AA81+AB81</f>
        <v>533.13092799363983</v>
      </c>
      <c r="AF81" s="7">
        <f t="shared" ref="AF81:AF97" si="58">(AE81*K81)*24*30/1000/1000/1000</f>
        <v>0</v>
      </c>
      <c r="AG81" s="192"/>
      <c r="AH81" s="17"/>
      <c r="AI81" s="17"/>
      <c r="AJ81" s="17"/>
      <c r="AK81" s="17"/>
      <c r="AQ81" s="75" t="s">
        <v>72</v>
      </c>
      <c r="AR81" s="63"/>
      <c r="AS81" s="63"/>
      <c r="AT81" s="63"/>
      <c r="AU81" s="63"/>
      <c r="AV81" s="63"/>
      <c r="AW81" s="63"/>
      <c r="AX81" s="63"/>
      <c r="AY81" s="63"/>
      <c r="AZ81" s="63"/>
      <c r="BA81" s="63"/>
      <c r="BB81" s="63"/>
      <c r="BC81" s="78"/>
    </row>
    <row r="82" spans="1:55" x14ac:dyDescent="0.25">
      <c r="A82" s="7">
        <v>22</v>
      </c>
      <c r="B82" s="181" t="s">
        <v>260</v>
      </c>
      <c r="F82" s="184">
        <v>1800</v>
      </c>
      <c r="G82" s="183">
        <f t="shared" si="43"/>
        <v>0.25</v>
      </c>
      <c r="H82" s="4">
        <v>0</v>
      </c>
      <c r="I82" s="48">
        <f>inputs!$B$11*H82/(0.65*G82^2)</f>
        <v>0</v>
      </c>
      <c r="J82" s="48">
        <f t="shared" si="44"/>
        <v>0</v>
      </c>
      <c r="K82" s="48">
        <f t="shared" si="49"/>
        <v>0</v>
      </c>
      <c r="L82" s="5">
        <f t="shared" si="45"/>
        <v>30468.75</v>
      </c>
      <c r="M82" s="50">
        <f t="shared" si="50"/>
        <v>0</v>
      </c>
      <c r="N82" s="9">
        <f t="shared" si="51"/>
        <v>0</v>
      </c>
      <c r="O82" s="9">
        <f t="shared" si="52"/>
        <v>0</v>
      </c>
      <c r="P82" s="9">
        <f t="shared" si="53"/>
        <v>0</v>
      </c>
      <c r="Q82" s="9">
        <f>(IF(I82=0,0,(($AK$35/2)*(M82/$M$98))/(inputs!$G$11*I82)))*8*1024*1024/30/24/60/60</f>
        <v>0</v>
      </c>
      <c r="R82" s="9">
        <f>(IF(I82=0,0,(($AI$35/2/(1+inputs!$F$16))*(M82/$M$98))/((1-inputs!$G$11)*I82)))*8*1024*1024/30/24/60/60</f>
        <v>0</v>
      </c>
      <c r="S82" s="7">
        <f t="shared" si="54"/>
        <v>0</v>
      </c>
      <c r="T82" s="9">
        <f>(W82*inputs!$F$11/inputs!$F$6/24)/(1+$AI$28)</f>
        <v>1.9715975826293233</v>
      </c>
      <c r="U82" s="9">
        <f>IF(I82=0,0,(0.5*T82*I82)/(inputs!$G$11*I82))</f>
        <v>0</v>
      </c>
      <c r="V82" s="9">
        <f>IF(I82=0,0,0.5*T82/(1-inputs!$G$11))</f>
        <v>0</v>
      </c>
      <c r="W82" s="9">
        <f t="shared" si="55"/>
        <v>29.754638671875</v>
      </c>
      <c r="X82" s="192"/>
      <c r="Y82" s="19">
        <f>inputs!$L$58</f>
        <v>0.5</v>
      </c>
      <c r="Z82" s="7">
        <f>inputs!$K$58</f>
        <v>1000</v>
      </c>
      <c r="AA82" s="7">
        <f t="shared" si="46"/>
        <v>466.86907200636017</v>
      </c>
      <c r="AB82" s="7">
        <f t="shared" si="47"/>
        <v>66.261855987279631</v>
      </c>
      <c r="AC82" s="7">
        <f t="shared" si="56"/>
        <v>500</v>
      </c>
      <c r="AD82" s="7">
        <f t="shared" si="48"/>
        <v>33.130927993639816</v>
      </c>
      <c r="AE82" s="7">
        <f t="shared" si="57"/>
        <v>533.13092799363983</v>
      </c>
      <c r="AF82" s="7">
        <f t="shared" si="58"/>
        <v>0</v>
      </c>
      <c r="AG82" s="192"/>
      <c r="AH82" s="17"/>
      <c r="AI82" s="17"/>
      <c r="AJ82" s="17"/>
      <c r="AK82" s="17"/>
      <c r="AQ82" s="75"/>
      <c r="AR82" s="63" t="s">
        <v>110</v>
      </c>
      <c r="AS82" s="63" t="s">
        <v>93</v>
      </c>
      <c r="AT82" s="63" t="s">
        <v>113</v>
      </c>
      <c r="AU82" s="63"/>
      <c r="AV82" s="142">
        <v>500</v>
      </c>
      <c r="AW82" s="65">
        <f>AV82*12</f>
        <v>6000</v>
      </c>
      <c r="AX82" s="65"/>
      <c r="AY82" s="65"/>
      <c r="AZ82" s="63"/>
      <c r="BA82" s="63"/>
      <c r="BB82" s="63"/>
      <c r="BC82" s="78"/>
    </row>
    <row r="83" spans="1:55" x14ac:dyDescent="0.25">
      <c r="A83" s="7">
        <v>23</v>
      </c>
      <c r="B83" s="181" t="s">
        <v>248</v>
      </c>
      <c r="F83" s="184">
        <v>900</v>
      </c>
      <c r="G83" s="183">
        <f t="shared" si="43"/>
        <v>0.4</v>
      </c>
      <c r="H83" s="4">
        <v>0</v>
      </c>
      <c r="I83" s="48">
        <f>inputs!$B$11*H83/(0.65*G83^2)</f>
        <v>0</v>
      </c>
      <c r="J83" s="48">
        <f t="shared" si="44"/>
        <v>0</v>
      </c>
      <c r="K83" s="48">
        <f t="shared" si="49"/>
        <v>0</v>
      </c>
      <c r="L83" s="5">
        <f t="shared" si="45"/>
        <v>15234.375</v>
      </c>
      <c r="M83" s="50">
        <f t="shared" si="50"/>
        <v>0</v>
      </c>
      <c r="N83" s="9">
        <f t="shared" si="51"/>
        <v>0</v>
      </c>
      <c r="O83" s="9">
        <f t="shared" si="52"/>
        <v>0</v>
      </c>
      <c r="P83" s="9">
        <f t="shared" si="53"/>
        <v>0</v>
      </c>
      <c r="Q83" s="9">
        <f>(IF(I83=0,0,(($AK$35/2)*(M83/$M$98))/(inputs!$G$11*I83)))*8*1024*1024/30/24/60/60</f>
        <v>0</v>
      </c>
      <c r="R83" s="9">
        <f>(IF(I83=0,0,(($AI$35/2/(1+inputs!$F$16))*(M83/$M$98))/((1-inputs!$G$11)*I83)))*8*1024*1024/30/24/60/60</f>
        <v>0</v>
      </c>
      <c r="S83" s="7">
        <f t="shared" si="54"/>
        <v>0</v>
      </c>
      <c r="T83" s="9">
        <f>(W83*inputs!$F$11/inputs!$F$6/24)/(1+$AI$28)</f>
        <v>0.98579879131466164</v>
      </c>
      <c r="U83" s="9">
        <f>IF(I83=0,0,(0.5*T83*I83)/(inputs!$G$11*I83))</f>
        <v>0</v>
      </c>
      <c r="V83" s="9">
        <f>IF(I83=0,0,0.5*T83/(1-inputs!$G$11))</f>
        <v>0</v>
      </c>
      <c r="W83" s="9">
        <f t="shared" si="55"/>
        <v>14.8773193359375</v>
      </c>
      <c r="X83" s="192"/>
      <c r="Y83" s="19">
        <f>inputs!$L$58</f>
        <v>0.5</v>
      </c>
      <c r="Z83" s="7">
        <f>inputs!$K$58</f>
        <v>1000</v>
      </c>
      <c r="AA83" s="7">
        <f t="shared" si="46"/>
        <v>466.86907200636017</v>
      </c>
      <c r="AB83" s="7">
        <f t="shared" si="47"/>
        <v>66.261855987279631</v>
      </c>
      <c r="AC83" s="7">
        <f t="shared" si="56"/>
        <v>500</v>
      </c>
      <c r="AD83" s="7">
        <f t="shared" si="48"/>
        <v>33.130927993639816</v>
      </c>
      <c r="AE83" s="7">
        <f t="shared" si="57"/>
        <v>533.13092799363983</v>
      </c>
      <c r="AF83" s="7">
        <f t="shared" si="58"/>
        <v>0</v>
      </c>
      <c r="AG83" s="192"/>
      <c r="AH83" s="17"/>
      <c r="AI83" s="17"/>
      <c r="AJ83" s="17"/>
      <c r="AK83" s="17"/>
      <c r="AQ83" s="75"/>
      <c r="AR83" s="63"/>
      <c r="AS83" s="63" t="s">
        <v>94</v>
      </c>
      <c r="AT83" s="63" t="s">
        <v>113</v>
      </c>
      <c r="AU83" s="63"/>
      <c r="AV83" s="142">
        <v>600</v>
      </c>
      <c r="AW83" s="65">
        <f t="shared" ref="AW83:AW85" si="59">AV83*12</f>
        <v>7200</v>
      </c>
      <c r="AX83" s="65"/>
      <c r="AY83" s="65">
        <f>AW83/9</f>
        <v>800</v>
      </c>
      <c r="AZ83" s="63"/>
      <c r="BA83" s="63"/>
      <c r="BB83" s="63"/>
      <c r="BC83" s="78"/>
    </row>
    <row r="84" spans="1:55" x14ac:dyDescent="0.25">
      <c r="A84" s="7">
        <v>24</v>
      </c>
      <c r="B84" s="181" t="s">
        <v>249</v>
      </c>
      <c r="F84" s="184">
        <v>800</v>
      </c>
      <c r="G84" s="183">
        <f t="shared" si="43"/>
        <v>0.5</v>
      </c>
      <c r="H84" s="4">
        <v>0.4</v>
      </c>
      <c r="I84" s="48">
        <f>inputs!$B$11*H84/(0.65*G84^2)</f>
        <v>22.153846153846153</v>
      </c>
      <c r="J84" s="48">
        <f t="shared" si="44"/>
        <v>23</v>
      </c>
      <c r="K84" s="48">
        <f t="shared" si="49"/>
        <v>8</v>
      </c>
      <c r="L84" s="5">
        <f t="shared" si="45"/>
        <v>15234.375</v>
      </c>
      <c r="M84" s="50">
        <f t="shared" si="50"/>
        <v>365625</v>
      </c>
      <c r="N84" s="9">
        <f t="shared" si="51"/>
        <v>357.0556640625</v>
      </c>
      <c r="O84" s="9">
        <f t="shared" si="52"/>
        <v>342.1783447265625</v>
      </c>
      <c r="P84" s="9">
        <f t="shared" si="53"/>
        <v>1.0563405526496779</v>
      </c>
      <c r="Q84" s="9">
        <f>(IF(I84=0,0,(($AK$35/2)*(M84/$M$98))/(inputs!$G$11*I84)))*8*1024*1024/30/24/60/60</f>
        <v>3.5211351754989262</v>
      </c>
      <c r="R84" s="9">
        <f>(IF(I84=0,0,(($AI$35/2/(1+inputs!$F$16))*(M84/$M$98))/((1-inputs!$G$11)*I84)))*8*1024*1024/30/24/60/60</f>
        <v>0.6213767956762809</v>
      </c>
      <c r="S84" s="7">
        <f t="shared" si="54"/>
        <v>24.295832710942591</v>
      </c>
      <c r="T84" s="9">
        <f>(W84*inputs!$F$11/inputs!$F$6/24)/(1+$AI$28)</f>
        <v>0.98579879131466164</v>
      </c>
      <c r="U84" s="9">
        <f>IF(I84=0,0,(0.5*T84*I84)/(inputs!$G$11*I84))</f>
        <v>3.2859959710488722</v>
      </c>
      <c r="V84" s="9">
        <f>IF(I84=0,0,0.5*T84/(1-inputs!$G$11))</f>
        <v>0.57988164194980096</v>
      </c>
      <c r="W84" s="9">
        <f t="shared" si="55"/>
        <v>14.8773193359375</v>
      </c>
      <c r="Y84" s="19">
        <f>inputs!$L$58</f>
        <v>0.5</v>
      </c>
      <c r="Z84" s="7">
        <f>inputs!$K$58</f>
        <v>1000</v>
      </c>
      <c r="AA84" s="7">
        <f t="shared" si="46"/>
        <v>466.86907200636017</v>
      </c>
      <c r="AB84" s="7">
        <f t="shared" si="47"/>
        <v>66.261855987279631</v>
      </c>
      <c r="AC84" s="7">
        <f t="shared" si="56"/>
        <v>500</v>
      </c>
      <c r="AD84" s="7">
        <f t="shared" si="48"/>
        <v>33.130927993639816</v>
      </c>
      <c r="AE84" s="7">
        <f t="shared" si="57"/>
        <v>533.13092799363983</v>
      </c>
      <c r="AF84" s="7">
        <f>(AE84*K84)*24*30/1000/1000/1000</f>
        <v>3.0708341452433648E-3</v>
      </c>
      <c r="AG84" s="192"/>
      <c r="AH84" s="17"/>
      <c r="AI84" s="17"/>
      <c r="AJ84" s="17"/>
      <c r="AK84" s="17"/>
      <c r="AQ84" s="75"/>
      <c r="AR84" s="63"/>
      <c r="AS84" s="63" t="s">
        <v>95</v>
      </c>
      <c r="AT84" s="63" t="s">
        <v>113</v>
      </c>
      <c r="AU84" s="63"/>
      <c r="AV84" s="142">
        <f>AV82/3</f>
        <v>166.66666666666666</v>
      </c>
      <c r="AW84" s="65">
        <f t="shared" si="59"/>
        <v>2000</v>
      </c>
      <c r="AX84" s="65"/>
      <c r="AY84" s="65"/>
      <c r="AZ84" s="63"/>
      <c r="BA84" s="63"/>
      <c r="BB84" s="63"/>
      <c r="BC84" s="78"/>
    </row>
    <row r="85" spans="1:55" x14ac:dyDescent="0.25">
      <c r="A85" s="7">
        <v>25</v>
      </c>
      <c r="B85" s="181" t="s">
        <v>250</v>
      </c>
      <c r="F85" s="184">
        <v>700</v>
      </c>
      <c r="G85" s="183">
        <f t="shared" si="43"/>
        <v>0.6</v>
      </c>
      <c r="H85" s="4">
        <v>0</v>
      </c>
      <c r="I85" s="48">
        <f>inputs!$B$11*H85/(0.65*G85^2)</f>
        <v>0</v>
      </c>
      <c r="J85" s="48">
        <f t="shared" si="44"/>
        <v>0</v>
      </c>
      <c r="K85" s="48">
        <f t="shared" si="49"/>
        <v>0</v>
      </c>
      <c r="L85" s="5">
        <f t="shared" si="45"/>
        <v>15234.375</v>
      </c>
      <c r="M85" s="50">
        <f t="shared" si="50"/>
        <v>0</v>
      </c>
      <c r="N85" s="9">
        <f t="shared" si="51"/>
        <v>0</v>
      </c>
      <c r="O85" s="9">
        <f t="shared" si="52"/>
        <v>0</v>
      </c>
      <c r="P85" s="9">
        <f t="shared" si="53"/>
        <v>0</v>
      </c>
      <c r="Q85" s="9">
        <f>(IF(I85=0,0,(($AK$35/2)*(M85/$M$98))/(inputs!$G$11*I85)))*8*1024*1024/30/24/60/60</f>
        <v>0</v>
      </c>
      <c r="R85" s="9">
        <f>(IF(I85=0,0,(($AI$35/2/(1+inputs!$F$16))*(M85/$M$98))/((1-inputs!$G$11)*I85)))*8*1024*1024/30/24/60/60</f>
        <v>0</v>
      </c>
      <c r="S85" s="7">
        <f t="shared" si="54"/>
        <v>0</v>
      </c>
      <c r="T85" s="9">
        <f>(W85*inputs!$F$11/inputs!$F$6/24)/(1+$AI$28)</f>
        <v>0.98579879131466164</v>
      </c>
      <c r="U85" s="9">
        <f>IF(I85=0,0,(0.5*T85*I85)/(inputs!$G$11*I85))</f>
        <v>0</v>
      </c>
      <c r="V85" s="9">
        <f>IF(I85=0,0,0.5*T85/(1-inputs!$G$11))</f>
        <v>0</v>
      </c>
      <c r="W85" s="9">
        <f t="shared" si="55"/>
        <v>14.8773193359375</v>
      </c>
      <c r="Y85" s="19">
        <f>inputs!$L$58</f>
        <v>0.5</v>
      </c>
      <c r="Z85" s="7">
        <f>inputs!$K$58</f>
        <v>1000</v>
      </c>
      <c r="AA85" s="7">
        <f t="shared" si="46"/>
        <v>466.86907200636017</v>
      </c>
      <c r="AB85" s="7">
        <f t="shared" si="47"/>
        <v>66.261855987279631</v>
      </c>
      <c r="AC85" s="7">
        <f t="shared" si="56"/>
        <v>500</v>
      </c>
      <c r="AD85" s="7">
        <f t="shared" si="48"/>
        <v>33.130927993639816</v>
      </c>
      <c r="AE85" s="7">
        <f t="shared" si="57"/>
        <v>533.13092799363983</v>
      </c>
      <c r="AF85" s="7">
        <f t="shared" si="58"/>
        <v>0</v>
      </c>
      <c r="AG85" s="192"/>
      <c r="AH85" s="17"/>
      <c r="AI85" s="17"/>
      <c r="AJ85" s="17"/>
      <c r="AK85" s="17"/>
      <c r="AQ85" s="75"/>
      <c r="AR85" s="63"/>
      <c r="AS85" s="63" t="s">
        <v>96</v>
      </c>
      <c r="AT85" s="63" t="s">
        <v>113</v>
      </c>
      <c r="AU85" s="63"/>
      <c r="AV85" s="142">
        <f>AV83/3</f>
        <v>200</v>
      </c>
      <c r="AW85" s="65">
        <f t="shared" si="59"/>
        <v>2400</v>
      </c>
      <c r="AX85" s="65"/>
      <c r="AY85" s="65"/>
      <c r="AZ85" s="63"/>
      <c r="BA85" s="63"/>
      <c r="BB85" s="63"/>
      <c r="BC85" s="78"/>
    </row>
    <row r="86" spans="1:55" x14ac:dyDescent="0.25">
      <c r="A86" s="7">
        <v>26</v>
      </c>
      <c r="B86" s="181" t="s">
        <v>251</v>
      </c>
      <c r="F86" s="184">
        <v>2600</v>
      </c>
      <c r="G86" s="183">
        <f t="shared" si="43"/>
        <v>0.2</v>
      </c>
      <c r="H86" s="4">
        <v>0</v>
      </c>
      <c r="I86" s="48">
        <f>inputs!$B$11*H86/(0.65*G86^2)</f>
        <v>0</v>
      </c>
      <c r="J86" s="48">
        <f t="shared" si="44"/>
        <v>0</v>
      </c>
      <c r="K86" s="48">
        <f t="shared" si="49"/>
        <v>0</v>
      </c>
      <c r="L86" s="5">
        <f t="shared" si="45"/>
        <v>41015.625</v>
      </c>
      <c r="M86" s="50">
        <f t="shared" si="50"/>
        <v>0</v>
      </c>
      <c r="N86" s="9">
        <f t="shared" si="51"/>
        <v>0</v>
      </c>
      <c r="O86" s="9">
        <f t="shared" si="52"/>
        <v>0</v>
      </c>
      <c r="P86" s="9">
        <f t="shared" si="53"/>
        <v>0</v>
      </c>
      <c r="Q86" s="9">
        <f>(IF(I86=0,0,(($AK$35/2)*(M86/$M$98))/(inputs!$G$11*I86)))*8*1024*1024/30/24/60/60</f>
        <v>0</v>
      </c>
      <c r="R86" s="9">
        <f>(IF(I86=0,0,(($AI$35/2/(1+inputs!$F$16))*(M86/$M$98))/((1-inputs!$G$11)*I86)))*8*1024*1024/30/24/60/60</f>
        <v>0</v>
      </c>
      <c r="S86" s="7">
        <f t="shared" si="54"/>
        <v>0</v>
      </c>
      <c r="T86" s="9">
        <f>(W86*inputs!$F$11/inputs!$F$6/24)/(1+$AI$28)</f>
        <v>2.6540736689240889</v>
      </c>
      <c r="U86" s="9">
        <f>IF(I86=0,0,(0.5*T86*I86)/(inputs!$G$11*I86))</f>
        <v>0</v>
      </c>
      <c r="V86" s="9">
        <f>IF(I86=0,0,0.5*T86/(1-inputs!$G$11))</f>
        <v>0</v>
      </c>
      <c r="W86" s="9">
        <f t="shared" si="55"/>
        <v>40.0543212890625</v>
      </c>
      <c r="Y86" s="19">
        <f>inputs!$L$58</f>
        <v>0.5</v>
      </c>
      <c r="Z86" s="7">
        <f>inputs!$K$58</f>
        <v>1000</v>
      </c>
      <c r="AA86" s="7">
        <f t="shared" si="46"/>
        <v>466.86907200636017</v>
      </c>
      <c r="AB86" s="7">
        <f t="shared" si="47"/>
        <v>66.261855987279631</v>
      </c>
      <c r="AC86" s="7">
        <f t="shared" si="56"/>
        <v>500</v>
      </c>
      <c r="AD86" s="7">
        <f t="shared" si="48"/>
        <v>33.130927993639816</v>
      </c>
      <c r="AE86" s="7">
        <f t="shared" si="57"/>
        <v>533.13092799363983</v>
      </c>
      <c r="AF86" s="7">
        <f t="shared" si="58"/>
        <v>0</v>
      </c>
      <c r="AG86" s="192"/>
      <c r="AH86" s="17"/>
      <c r="AI86" s="17"/>
      <c r="AJ86" s="17"/>
      <c r="AK86" s="17"/>
      <c r="AQ86" s="75"/>
      <c r="AR86" s="63" t="s">
        <v>66</v>
      </c>
      <c r="AS86" s="63" t="s">
        <v>112</v>
      </c>
      <c r="AT86" s="63" t="s">
        <v>73</v>
      </c>
      <c r="AU86" s="63"/>
      <c r="AV86" s="142">
        <v>40</v>
      </c>
      <c r="AW86" s="65"/>
      <c r="AX86" s="65"/>
      <c r="AY86" s="65"/>
      <c r="AZ86" s="63"/>
      <c r="BA86" s="63"/>
      <c r="BB86" s="63"/>
      <c r="BC86" s="78"/>
    </row>
    <row r="87" spans="1:55" x14ac:dyDescent="0.25">
      <c r="A87" s="7">
        <v>27</v>
      </c>
      <c r="B87" s="181" t="s">
        <v>261</v>
      </c>
      <c r="F87" s="184">
        <v>2100</v>
      </c>
      <c r="G87" s="183">
        <f t="shared" si="43"/>
        <v>0.23</v>
      </c>
      <c r="H87" s="4">
        <v>0</v>
      </c>
      <c r="I87" s="48">
        <f>inputs!$B$11*H87/(0.65*G87^2)</f>
        <v>0</v>
      </c>
      <c r="J87" s="48">
        <f t="shared" si="44"/>
        <v>0</v>
      </c>
      <c r="K87" s="48">
        <f t="shared" si="49"/>
        <v>0</v>
      </c>
      <c r="L87" s="5">
        <f t="shared" si="45"/>
        <v>41015.625</v>
      </c>
      <c r="M87" s="50">
        <f t="shared" si="50"/>
        <v>0</v>
      </c>
      <c r="N87" s="9">
        <f t="shared" si="51"/>
        <v>0</v>
      </c>
      <c r="O87" s="9">
        <f t="shared" si="52"/>
        <v>0</v>
      </c>
      <c r="P87" s="9">
        <f t="shared" si="53"/>
        <v>0</v>
      </c>
      <c r="Q87" s="9">
        <f>(IF(I87=0,0,(($AK$35/2)*(M87/$M$98))/(inputs!$G$11*I87)))*8*1024*1024/30/24/60/60</f>
        <v>0</v>
      </c>
      <c r="R87" s="9">
        <f>(IF(I87=0,0,(($AI$35/2/(1+inputs!$F$16))*(M87/$M$98))/((1-inputs!$G$11)*I87)))*8*1024*1024/30/24/60/60</f>
        <v>0</v>
      </c>
      <c r="S87" s="7">
        <f t="shared" si="54"/>
        <v>0</v>
      </c>
      <c r="T87" s="9">
        <f>(W87*inputs!$F$11/inputs!$F$6/24)/(1+$AI$28)</f>
        <v>2.6540736689240889</v>
      </c>
      <c r="U87" s="9">
        <f>IF(I87=0,0,(0.5*T87*I87)/(inputs!$G$11*I87))</f>
        <v>0</v>
      </c>
      <c r="V87" s="9">
        <f>IF(I87=0,0,0.5*T87/(1-inputs!$G$11))</f>
        <v>0</v>
      </c>
      <c r="W87" s="9">
        <f t="shared" si="55"/>
        <v>40.0543212890625</v>
      </c>
      <c r="Y87" s="19">
        <f>inputs!$L$58</f>
        <v>0.5</v>
      </c>
      <c r="Z87" s="7">
        <f>inputs!$K$58</f>
        <v>1000</v>
      </c>
      <c r="AA87" s="7">
        <f t="shared" si="46"/>
        <v>466.86907200636017</v>
      </c>
      <c r="AB87" s="7">
        <f t="shared" si="47"/>
        <v>66.261855987279631</v>
      </c>
      <c r="AC87" s="7">
        <f t="shared" si="56"/>
        <v>500</v>
      </c>
      <c r="AD87" s="7">
        <f t="shared" si="48"/>
        <v>33.130927993639816</v>
      </c>
      <c r="AE87" s="7">
        <f t="shared" si="57"/>
        <v>533.13092799363983</v>
      </c>
      <c r="AF87" s="7">
        <f t="shared" si="58"/>
        <v>0</v>
      </c>
      <c r="AG87" s="192"/>
      <c r="AH87" s="17"/>
      <c r="AI87" s="17"/>
      <c r="AJ87" s="17"/>
      <c r="AK87" s="17"/>
      <c r="AQ87" s="75"/>
      <c r="AR87" s="63" t="s">
        <v>68</v>
      </c>
      <c r="AS87" s="63"/>
      <c r="AT87" s="63" t="s">
        <v>74</v>
      </c>
      <c r="AU87" s="63"/>
      <c r="AV87" s="142">
        <v>4000</v>
      </c>
      <c r="AW87" s="65"/>
      <c r="AX87" s="65"/>
      <c r="AY87" s="65"/>
      <c r="AZ87" s="63"/>
      <c r="BA87" s="63"/>
      <c r="BB87" s="63"/>
      <c r="BC87" s="78"/>
    </row>
    <row r="88" spans="1:55" x14ac:dyDescent="0.25">
      <c r="A88" s="7">
        <v>28</v>
      </c>
      <c r="B88" s="181" t="s">
        <v>252</v>
      </c>
      <c r="F88" s="184">
        <v>1800</v>
      </c>
      <c r="G88" s="183">
        <f t="shared" si="43"/>
        <v>0.25</v>
      </c>
      <c r="H88" s="4">
        <v>0</v>
      </c>
      <c r="I88" s="48">
        <f>inputs!$B$11*H88/(0.65*G88^2)</f>
        <v>0</v>
      </c>
      <c r="J88" s="48">
        <f t="shared" si="44"/>
        <v>0</v>
      </c>
      <c r="K88" s="48">
        <f t="shared" si="49"/>
        <v>0</v>
      </c>
      <c r="L88" s="5">
        <f t="shared" si="45"/>
        <v>41015.625</v>
      </c>
      <c r="M88" s="50">
        <f t="shared" si="50"/>
        <v>0</v>
      </c>
      <c r="N88" s="9">
        <f t="shared" si="51"/>
        <v>0</v>
      </c>
      <c r="O88" s="9">
        <f t="shared" si="52"/>
        <v>0</v>
      </c>
      <c r="P88" s="9">
        <f t="shared" si="53"/>
        <v>0</v>
      </c>
      <c r="Q88" s="9">
        <f>(IF(I88=0,0,(($AK$35/2)*(M88/$M$98))/(inputs!$G$11*I88)))*8*1024*1024/30/24/60/60</f>
        <v>0</v>
      </c>
      <c r="R88" s="9">
        <f>(IF(I88=0,0,(($AI$35/2/(1+inputs!$F$16))*(M88/$M$98))/((1-inputs!$G$11)*I88)))*8*1024*1024/30/24/60/60</f>
        <v>0</v>
      </c>
      <c r="S88" s="7">
        <f t="shared" si="54"/>
        <v>0</v>
      </c>
      <c r="T88" s="9">
        <f>(W88*inputs!$F$11/inputs!$F$6/24)/(1+$AI$28)</f>
        <v>2.6540736689240889</v>
      </c>
      <c r="U88" s="9">
        <f>IF(I88=0,0,(0.5*T88*I88)/(inputs!$G$11*I88))</f>
        <v>0</v>
      </c>
      <c r="V88" s="9">
        <f>IF(I88=0,0,0.5*T88/(1-inputs!$G$11))</f>
        <v>0</v>
      </c>
      <c r="W88" s="9">
        <f t="shared" si="55"/>
        <v>40.0543212890625</v>
      </c>
      <c r="Y88" s="19">
        <f>inputs!$L$58</f>
        <v>0.5</v>
      </c>
      <c r="Z88" s="7">
        <f>inputs!$K$58</f>
        <v>1000</v>
      </c>
      <c r="AA88" s="7">
        <f t="shared" si="46"/>
        <v>466.86907200636017</v>
      </c>
      <c r="AB88" s="7">
        <f t="shared" si="47"/>
        <v>66.261855987279631</v>
      </c>
      <c r="AC88" s="7">
        <f t="shared" si="56"/>
        <v>500</v>
      </c>
      <c r="AD88" s="7">
        <f t="shared" si="48"/>
        <v>33.130927993639816</v>
      </c>
      <c r="AE88" s="7">
        <f t="shared" si="57"/>
        <v>533.13092799363983</v>
      </c>
      <c r="AF88" s="7">
        <f t="shared" si="58"/>
        <v>0</v>
      </c>
      <c r="AH88" s="17"/>
      <c r="AI88" s="17"/>
      <c r="AJ88" s="17"/>
      <c r="AK88" s="17"/>
      <c r="AQ88" s="75"/>
      <c r="AR88" s="63" t="s">
        <v>70</v>
      </c>
      <c r="AS88" s="63"/>
      <c r="AT88" s="63" t="s">
        <v>75</v>
      </c>
      <c r="AU88" s="63"/>
      <c r="AV88" s="142">
        <v>1</v>
      </c>
      <c r="AW88" s="65"/>
      <c r="AX88" s="65"/>
      <c r="AY88" s="65"/>
      <c r="AZ88" s="63"/>
      <c r="BA88" s="63"/>
      <c r="BB88" s="63"/>
      <c r="BC88" s="78"/>
    </row>
    <row r="89" spans="1:55" x14ac:dyDescent="0.25">
      <c r="A89" s="7">
        <v>29</v>
      </c>
      <c r="B89" s="181" t="s">
        <v>253</v>
      </c>
      <c r="F89" s="184">
        <v>900</v>
      </c>
      <c r="G89" s="183">
        <f t="shared" si="43"/>
        <v>0.4</v>
      </c>
      <c r="H89" s="4">
        <v>0</v>
      </c>
      <c r="I89" s="48">
        <f>inputs!$B$11*H89/(0.65*G89^2)</f>
        <v>0</v>
      </c>
      <c r="J89" s="48">
        <f t="shared" si="44"/>
        <v>0</v>
      </c>
      <c r="K89" s="48">
        <f t="shared" si="49"/>
        <v>0</v>
      </c>
      <c r="L89" s="5">
        <f t="shared" si="45"/>
        <v>20507.8125</v>
      </c>
      <c r="M89" s="50">
        <f t="shared" si="50"/>
        <v>0</v>
      </c>
      <c r="N89" s="9">
        <f t="shared" si="51"/>
        <v>0</v>
      </c>
      <c r="O89" s="9">
        <f t="shared" si="52"/>
        <v>0</v>
      </c>
      <c r="P89" s="9">
        <f t="shared" si="53"/>
        <v>0</v>
      </c>
      <c r="Q89" s="9">
        <f>(IF(I89=0,0,(($AK$35/2)*(M89/$M$98))/(inputs!$G$11*I89)))*8*1024*1024/30/24/60/60</f>
        <v>0</v>
      </c>
      <c r="R89" s="9">
        <f>(IF(I89=0,0,(($AI$35/2/(1+inputs!$F$16))*(M89/$M$98))/((1-inputs!$G$11)*I89)))*8*1024*1024/30/24/60/60</f>
        <v>0</v>
      </c>
      <c r="S89" s="7">
        <f t="shared" si="54"/>
        <v>0</v>
      </c>
      <c r="T89" s="9">
        <f>(W89*inputs!$F$11/inputs!$F$6/24)/(1+$AI$28)</f>
        <v>1.3270368344620445</v>
      </c>
      <c r="U89" s="9">
        <f>IF(I89=0,0,(0.5*T89*I89)/(inputs!$G$11*I89))</f>
        <v>0</v>
      </c>
      <c r="V89" s="9">
        <f>IF(I89=0,0,0.5*T89/(1-inputs!$G$11))</f>
        <v>0</v>
      </c>
      <c r="W89" s="9">
        <f t="shared" si="55"/>
        <v>20.02716064453125</v>
      </c>
      <c r="Y89" s="19">
        <f>inputs!$L$58</f>
        <v>0.5</v>
      </c>
      <c r="Z89" s="7">
        <f>inputs!$K$58</f>
        <v>1000</v>
      </c>
      <c r="AA89" s="7">
        <f t="shared" si="46"/>
        <v>466.86907200636017</v>
      </c>
      <c r="AB89" s="7">
        <f t="shared" si="47"/>
        <v>66.261855987279631</v>
      </c>
      <c r="AC89" s="7">
        <f t="shared" si="56"/>
        <v>500</v>
      </c>
      <c r="AD89" s="7">
        <f t="shared" si="48"/>
        <v>33.130927993639816</v>
      </c>
      <c r="AE89" s="7">
        <f t="shared" si="57"/>
        <v>533.13092799363983</v>
      </c>
      <c r="AF89" s="7">
        <f t="shared" si="58"/>
        <v>0</v>
      </c>
      <c r="AH89" s="17"/>
      <c r="AI89" s="17"/>
      <c r="AJ89" s="17"/>
      <c r="AK89" s="17"/>
      <c r="AQ89" s="75"/>
      <c r="AR89" s="63" t="s">
        <v>140</v>
      </c>
      <c r="AS89" s="63"/>
      <c r="AT89" s="63" t="s">
        <v>142</v>
      </c>
      <c r="AU89" s="63"/>
      <c r="AV89" s="53">
        <v>3600000</v>
      </c>
      <c r="AW89" s="20"/>
      <c r="AX89" s="20"/>
      <c r="AY89" s="20"/>
      <c r="AZ89" s="63"/>
      <c r="BA89" s="63"/>
      <c r="BB89" s="63"/>
      <c r="BC89" s="78"/>
    </row>
    <row r="90" spans="1:55" x14ac:dyDescent="0.25">
      <c r="A90" s="7">
        <v>30</v>
      </c>
      <c r="B90" s="181" t="s">
        <v>254</v>
      </c>
      <c r="F90" s="184">
        <v>800</v>
      </c>
      <c r="G90" s="183">
        <f t="shared" si="43"/>
        <v>0.5</v>
      </c>
      <c r="H90" s="4">
        <v>0</v>
      </c>
      <c r="I90" s="48">
        <f>inputs!$B$11*H90/(0.65*G90^2)</f>
        <v>0</v>
      </c>
      <c r="J90" s="48">
        <f t="shared" si="44"/>
        <v>0</v>
      </c>
      <c r="K90" s="48">
        <f t="shared" si="49"/>
        <v>0</v>
      </c>
      <c r="L90" s="5">
        <f t="shared" si="45"/>
        <v>20507.8125</v>
      </c>
      <c r="M90" s="50">
        <f t="shared" si="50"/>
        <v>0</v>
      </c>
      <c r="N90" s="9">
        <f t="shared" si="51"/>
        <v>0</v>
      </c>
      <c r="O90" s="9">
        <f t="shared" si="52"/>
        <v>0</v>
      </c>
      <c r="P90" s="9">
        <f t="shared" si="53"/>
        <v>0</v>
      </c>
      <c r="Q90" s="9">
        <f>(IF(I90=0,0,(($AK$35/2)*(M90/$M$98))/(inputs!$G$11*I90)))*8*1024*1024/30/24/60/60</f>
        <v>0</v>
      </c>
      <c r="R90" s="9">
        <f>(IF(I90=0,0,(($AI$35/2/(1+inputs!$F$16))*(M90/$M$98))/((1-inputs!$G$11)*I90)))*8*1024*1024/30/24/60/60</f>
        <v>0</v>
      </c>
      <c r="S90" s="7">
        <f t="shared" si="54"/>
        <v>0</v>
      </c>
      <c r="T90" s="9">
        <f>(W90*inputs!$F$11/inputs!$F$6/24)/(1+$AI$28)</f>
        <v>1.3270368344620445</v>
      </c>
      <c r="U90" s="9">
        <f>IF(I90=0,0,(0.5*T90*I90)/(inputs!$G$11*I90))</f>
        <v>0</v>
      </c>
      <c r="V90" s="9">
        <f>IF(I90=0,0,0.5*T90/(1-inputs!$G$11))</f>
        <v>0</v>
      </c>
      <c r="W90" s="9">
        <f t="shared" si="55"/>
        <v>20.02716064453125</v>
      </c>
      <c r="Y90" s="19">
        <f>inputs!$L$58</f>
        <v>0.5</v>
      </c>
      <c r="Z90" s="7">
        <f>inputs!$K$58</f>
        <v>1000</v>
      </c>
      <c r="AA90" s="7">
        <f t="shared" si="46"/>
        <v>466.86907200636017</v>
      </c>
      <c r="AB90" s="7">
        <f t="shared" si="47"/>
        <v>66.261855987279631</v>
      </c>
      <c r="AC90" s="7">
        <f t="shared" si="56"/>
        <v>500</v>
      </c>
      <c r="AD90" s="7">
        <f t="shared" si="48"/>
        <v>33.130927993639816</v>
      </c>
      <c r="AE90" s="7">
        <f t="shared" si="57"/>
        <v>533.13092799363983</v>
      </c>
      <c r="AF90" s="7">
        <f t="shared" si="58"/>
        <v>0</v>
      </c>
      <c r="AH90" s="17"/>
      <c r="AI90" s="17"/>
      <c r="AJ90" s="17"/>
      <c r="AK90" s="17"/>
      <c r="AQ90" s="75"/>
      <c r="AR90" s="63" t="s">
        <v>140</v>
      </c>
      <c r="AS90" s="63"/>
      <c r="AT90" s="63" t="s">
        <v>142</v>
      </c>
      <c r="AU90" s="63"/>
      <c r="AV90" s="53">
        <f>22000000/10</f>
        <v>2200000</v>
      </c>
      <c r="AW90" s="20"/>
      <c r="AX90" s="20"/>
      <c r="AY90" s="20"/>
      <c r="AZ90" s="63"/>
      <c r="BA90" s="63"/>
      <c r="BB90" s="63"/>
      <c r="BC90" s="78"/>
    </row>
    <row r="91" spans="1:55" x14ac:dyDescent="0.25">
      <c r="A91" s="7">
        <v>31</v>
      </c>
      <c r="B91" s="181" t="s">
        <v>255</v>
      </c>
      <c r="F91" s="184">
        <v>700</v>
      </c>
      <c r="G91" s="183">
        <f t="shared" si="43"/>
        <v>0.6</v>
      </c>
      <c r="H91" s="4">
        <v>0</v>
      </c>
      <c r="I91" s="48">
        <f>inputs!$B$11*H91/(0.65*G91^2)</f>
        <v>0</v>
      </c>
      <c r="J91" s="48">
        <f t="shared" si="44"/>
        <v>0</v>
      </c>
      <c r="K91" s="48">
        <f t="shared" si="49"/>
        <v>0</v>
      </c>
      <c r="L91" s="5">
        <f t="shared" si="45"/>
        <v>20507.8125</v>
      </c>
      <c r="M91" s="50">
        <f t="shared" si="50"/>
        <v>0</v>
      </c>
      <c r="N91" s="9">
        <f t="shared" si="51"/>
        <v>0</v>
      </c>
      <c r="O91" s="9">
        <f t="shared" si="52"/>
        <v>0</v>
      </c>
      <c r="P91" s="9">
        <f t="shared" si="53"/>
        <v>0</v>
      </c>
      <c r="Q91" s="9">
        <f>(IF(I91=0,0,(($AK$35/2)*(M91/$M$98))/(inputs!$G$11*I91)))*8*1024*1024/30/24/60/60</f>
        <v>0</v>
      </c>
      <c r="R91" s="9">
        <f>(IF(I91=0,0,(($AI$35/2/(1+inputs!$F$16))*(M91/$M$98))/((1-inputs!$G$11)*I91)))*8*1024*1024/30/24/60/60</f>
        <v>0</v>
      </c>
      <c r="S91" s="7">
        <f t="shared" si="54"/>
        <v>0</v>
      </c>
      <c r="T91" s="9">
        <f>(W91*inputs!$F$11/inputs!$F$6/24)/(1+$AI$28)</f>
        <v>1.3270368344620445</v>
      </c>
      <c r="U91" s="9">
        <f>IF(I91=0,0,(0.5*T91*I91)/(inputs!$G$11*I91))</f>
        <v>0</v>
      </c>
      <c r="V91" s="9">
        <f>IF(I91=0,0,0.5*T91/(1-inputs!$G$11))</f>
        <v>0</v>
      </c>
      <c r="W91" s="9">
        <f t="shared" si="55"/>
        <v>20.02716064453125</v>
      </c>
      <c r="Y91" s="19">
        <f>inputs!$L$58</f>
        <v>0.5</v>
      </c>
      <c r="Z91" s="7">
        <f>inputs!$K$58</f>
        <v>1000</v>
      </c>
      <c r="AA91" s="7">
        <f t="shared" si="46"/>
        <v>466.86907200636017</v>
      </c>
      <c r="AB91" s="7">
        <f t="shared" si="47"/>
        <v>66.261855987279631</v>
      </c>
      <c r="AC91" s="7">
        <f t="shared" si="56"/>
        <v>500</v>
      </c>
      <c r="AD91" s="7">
        <f t="shared" si="48"/>
        <v>33.130927993639816</v>
      </c>
      <c r="AE91" s="7">
        <f t="shared" si="57"/>
        <v>533.13092799363983</v>
      </c>
      <c r="AF91" s="7">
        <f t="shared" si="58"/>
        <v>0</v>
      </c>
      <c r="AH91" s="17"/>
      <c r="AI91" s="17"/>
      <c r="AJ91" s="17"/>
      <c r="AK91" s="17"/>
      <c r="AQ91" s="75"/>
      <c r="AZ91" s="63"/>
      <c r="BA91" s="63"/>
      <c r="BB91" s="63"/>
      <c r="BC91" s="78"/>
    </row>
    <row r="92" spans="1:55" x14ac:dyDescent="0.25">
      <c r="A92" s="7">
        <v>32</v>
      </c>
      <c r="B92" s="181" t="s">
        <v>256</v>
      </c>
      <c r="F92" s="184">
        <v>2600</v>
      </c>
      <c r="G92" s="183">
        <f t="shared" si="43"/>
        <v>0.2</v>
      </c>
      <c r="H92" s="4">
        <v>0</v>
      </c>
      <c r="I92" s="48">
        <f>inputs!$B$11*H92/(0.65*G92^2)</f>
        <v>0</v>
      </c>
      <c r="J92" s="48">
        <f t="shared" si="44"/>
        <v>0</v>
      </c>
      <c r="K92" s="48">
        <f t="shared" si="49"/>
        <v>0</v>
      </c>
      <c r="L92" s="5">
        <f t="shared" si="45"/>
        <v>48828.125</v>
      </c>
      <c r="M92" s="50">
        <f t="shared" si="50"/>
        <v>0</v>
      </c>
      <c r="N92" s="9">
        <f t="shared" si="51"/>
        <v>0</v>
      </c>
      <c r="O92" s="9">
        <f t="shared" si="52"/>
        <v>0</v>
      </c>
      <c r="P92" s="9">
        <f t="shared" si="53"/>
        <v>0</v>
      </c>
      <c r="Q92" s="9">
        <f>(IF(I92=0,0,(($AK$35/2)*(M92/$M$98))/(inputs!$G$11*I92)))*8*1024*1024/30/24/60/60</f>
        <v>0</v>
      </c>
      <c r="R92" s="9">
        <f>(IF(I92=0,0,(($AI$35/2/(1+inputs!$F$16))*(M92/$M$98))/((1-inputs!$G$11)*I92)))*8*1024*1024/30/24/60/60</f>
        <v>0</v>
      </c>
      <c r="S92" s="7">
        <f t="shared" si="54"/>
        <v>0</v>
      </c>
      <c r="T92" s="9">
        <f>(W92*inputs!$F$11/inputs!$F$6/24)/(1+$AI$28)</f>
        <v>3.1596115106239151</v>
      </c>
      <c r="U92" s="9">
        <f>IF(I92=0,0,(0.5*T92*I92)/(inputs!$G$11*I92))</f>
        <v>0</v>
      </c>
      <c r="V92" s="9">
        <f>IF(I92=0,0,0.5*T92/(1-inputs!$G$11))</f>
        <v>0</v>
      </c>
      <c r="W92" s="9">
        <f t="shared" si="55"/>
        <v>47.6837158203125</v>
      </c>
      <c r="Y92" s="19">
        <f>inputs!$L$58</f>
        <v>0.5</v>
      </c>
      <c r="Z92" s="7">
        <f>inputs!$K$58</f>
        <v>1000</v>
      </c>
      <c r="AA92" s="7">
        <f t="shared" si="46"/>
        <v>466.86907200636017</v>
      </c>
      <c r="AB92" s="7">
        <f t="shared" si="47"/>
        <v>66.261855987279631</v>
      </c>
      <c r="AC92" s="7">
        <f t="shared" si="56"/>
        <v>500</v>
      </c>
      <c r="AD92" s="7">
        <f t="shared" si="48"/>
        <v>33.130927993639816</v>
      </c>
      <c r="AE92" s="7">
        <f t="shared" si="57"/>
        <v>533.13092799363983</v>
      </c>
      <c r="AF92" s="7">
        <f t="shared" si="58"/>
        <v>0</v>
      </c>
      <c r="AH92" s="17"/>
      <c r="AI92" s="17"/>
      <c r="AJ92" s="17"/>
      <c r="AK92" s="17"/>
      <c r="AQ92" s="75"/>
      <c r="AR92" s="63"/>
      <c r="AS92" s="63"/>
      <c r="AT92" s="63"/>
      <c r="AU92" s="63"/>
      <c r="AV92" s="63"/>
      <c r="AW92" s="63"/>
      <c r="AX92" s="63"/>
      <c r="AY92" s="63"/>
      <c r="AZ92" s="63"/>
      <c r="BA92" s="63"/>
      <c r="BB92" s="63"/>
      <c r="BC92" s="78"/>
    </row>
    <row r="93" spans="1:55" x14ac:dyDescent="0.25">
      <c r="A93" s="7">
        <v>33</v>
      </c>
      <c r="B93" s="181" t="s">
        <v>257</v>
      </c>
      <c r="F93" s="184">
        <v>2100</v>
      </c>
      <c r="G93" s="183">
        <f t="shared" si="43"/>
        <v>0.23</v>
      </c>
      <c r="H93" s="4">
        <v>0</v>
      </c>
      <c r="I93" s="48">
        <f>inputs!$B$11*H93/(0.65*G93^2)</f>
        <v>0</v>
      </c>
      <c r="J93" s="48">
        <f t="shared" si="44"/>
        <v>0</v>
      </c>
      <c r="K93" s="48">
        <f t="shared" si="49"/>
        <v>0</v>
      </c>
      <c r="L93" s="5">
        <f t="shared" si="45"/>
        <v>48828.125</v>
      </c>
      <c r="M93" s="50">
        <f t="shared" si="50"/>
        <v>0</v>
      </c>
      <c r="N93" s="9">
        <f t="shared" si="51"/>
        <v>0</v>
      </c>
      <c r="O93" s="9">
        <f t="shared" si="52"/>
        <v>0</v>
      </c>
      <c r="P93" s="9">
        <f t="shared" si="53"/>
        <v>0</v>
      </c>
      <c r="Q93" s="9">
        <f>(IF(I93=0,0,(($AK$35/2)*(M93/$M$98))/(inputs!$G$11*I93)))*8*1024*1024/30/24/60/60</f>
        <v>0</v>
      </c>
      <c r="R93" s="9">
        <f>(IF(I93=0,0,(($AI$35/2/(1+inputs!$F$16))*(M93/$M$98))/((1-inputs!$G$11)*I93)))*8*1024*1024/30/24/60/60</f>
        <v>0</v>
      </c>
      <c r="S93" s="7">
        <f t="shared" si="54"/>
        <v>0</v>
      </c>
      <c r="T93" s="9">
        <f>(W93*inputs!$F$11/inputs!$F$6/24)/(1+$AI$28)</f>
        <v>3.1596115106239151</v>
      </c>
      <c r="U93" s="9">
        <f>IF(I93=0,0,(0.5*T93*I93)/(inputs!$G$11*I93))</f>
        <v>0</v>
      </c>
      <c r="V93" s="9">
        <f>IF(I93=0,0,0.5*T93/(1-inputs!$G$11))</f>
        <v>0</v>
      </c>
      <c r="W93" s="9">
        <f t="shared" si="55"/>
        <v>47.6837158203125</v>
      </c>
      <c r="Y93" s="19">
        <f>inputs!$L$58</f>
        <v>0.5</v>
      </c>
      <c r="Z93" s="7">
        <f>inputs!$K$58</f>
        <v>1000</v>
      </c>
      <c r="AA93" s="7">
        <f t="shared" si="46"/>
        <v>466.86907200636017</v>
      </c>
      <c r="AB93" s="7">
        <f t="shared" si="47"/>
        <v>66.261855987279631</v>
      </c>
      <c r="AC93" s="7">
        <f t="shared" si="56"/>
        <v>500</v>
      </c>
      <c r="AD93" s="7">
        <f t="shared" si="48"/>
        <v>33.130927993639816</v>
      </c>
      <c r="AE93" s="7">
        <f t="shared" si="57"/>
        <v>533.13092799363983</v>
      </c>
      <c r="AF93" s="7">
        <f t="shared" si="58"/>
        <v>0</v>
      </c>
      <c r="AH93" s="17"/>
      <c r="AI93" s="17"/>
      <c r="AJ93" s="17"/>
      <c r="AK93" s="17"/>
      <c r="AQ93" s="75" t="s">
        <v>137</v>
      </c>
      <c r="AR93" s="63"/>
      <c r="AS93" s="63"/>
      <c r="AT93" s="63"/>
      <c r="AU93" s="63"/>
      <c r="AV93" s="65"/>
      <c r="AW93" s="63"/>
      <c r="AX93" s="63"/>
      <c r="AY93" s="63"/>
      <c r="AZ93" s="63"/>
      <c r="BA93" s="63"/>
      <c r="BB93" s="63"/>
      <c r="BC93" s="78"/>
    </row>
    <row r="94" spans="1:55" x14ac:dyDescent="0.25">
      <c r="A94" s="7">
        <v>34</v>
      </c>
      <c r="B94" s="181" t="s">
        <v>262</v>
      </c>
      <c r="F94" s="184">
        <v>1800</v>
      </c>
      <c r="G94" s="183">
        <f t="shared" si="43"/>
        <v>0.25</v>
      </c>
      <c r="H94" s="4">
        <v>0</v>
      </c>
      <c r="I94" s="48">
        <f>inputs!$B$11*H94/(0.65*G94^2)</f>
        <v>0</v>
      </c>
      <c r="J94" s="48">
        <f t="shared" si="44"/>
        <v>0</v>
      </c>
      <c r="K94" s="48">
        <f t="shared" si="49"/>
        <v>0</v>
      </c>
      <c r="L94" s="5">
        <f t="shared" si="45"/>
        <v>48828.125</v>
      </c>
      <c r="M94" s="50">
        <f t="shared" si="50"/>
        <v>0</v>
      </c>
      <c r="N94" s="9">
        <f t="shared" si="51"/>
        <v>0</v>
      </c>
      <c r="O94" s="9">
        <f t="shared" si="52"/>
        <v>0</v>
      </c>
      <c r="P94" s="9">
        <f t="shared" si="53"/>
        <v>0</v>
      </c>
      <c r="Q94" s="9">
        <f>(IF(I94=0,0,(($AK$35/2)*(M94/$M$98))/(inputs!$G$11*I94)))*8*1024*1024/30/24/60/60</f>
        <v>0</v>
      </c>
      <c r="R94" s="9">
        <f>(IF(I94=0,0,(($AI$35/2/(1+inputs!$F$16))*(M94/$M$98))/((1-inputs!$G$11)*I94)))*8*1024*1024/30/24/60/60</f>
        <v>0</v>
      </c>
      <c r="S94" s="7">
        <f t="shared" si="54"/>
        <v>0</v>
      </c>
      <c r="T94" s="9">
        <f>(W94*inputs!$F$11/inputs!$F$6/24)/(1+$AI$28)</f>
        <v>3.1596115106239151</v>
      </c>
      <c r="U94" s="9">
        <f>IF(I94=0,0,(0.5*T94*I94)/(inputs!$G$11*I94))</f>
        <v>0</v>
      </c>
      <c r="V94" s="9">
        <f>IF(I94=0,0,0.5*T94/(1-inputs!$G$11))</f>
        <v>0</v>
      </c>
      <c r="W94" s="9">
        <f t="shared" si="55"/>
        <v>47.6837158203125</v>
      </c>
      <c r="Y94" s="19">
        <f>inputs!$L$58</f>
        <v>0.5</v>
      </c>
      <c r="Z94" s="7">
        <f>inputs!$K$58</f>
        <v>1000</v>
      </c>
      <c r="AA94" s="7">
        <f t="shared" si="46"/>
        <v>466.86907200636017</v>
      </c>
      <c r="AB94" s="7">
        <f t="shared" si="47"/>
        <v>66.261855987279631</v>
      </c>
      <c r="AC94" s="7">
        <f t="shared" si="56"/>
        <v>500</v>
      </c>
      <c r="AD94" s="7">
        <f t="shared" si="48"/>
        <v>33.130927993639816</v>
      </c>
      <c r="AE94" s="7">
        <f t="shared" si="57"/>
        <v>533.13092799363983</v>
      </c>
      <c r="AF94" s="7">
        <f t="shared" si="58"/>
        <v>0</v>
      </c>
      <c r="AQ94" s="75"/>
      <c r="AR94" s="63"/>
      <c r="AS94" s="63"/>
      <c r="AT94" s="63"/>
      <c r="AU94" s="63"/>
      <c r="AV94" s="63"/>
      <c r="AW94" s="63"/>
      <c r="AX94" s="63"/>
      <c r="AY94" s="63"/>
      <c r="AZ94" s="63"/>
      <c r="BA94" s="63"/>
      <c r="BB94" s="63"/>
      <c r="BC94" s="78"/>
    </row>
    <row r="95" spans="1:55" x14ac:dyDescent="0.25">
      <c r="A95" s="7">
        <v>35</v>
      </c>
      <c r="B95" s="181" t="s">
        <v>258</v>
      </c>
      <c r="F95" s="184">
        <v>900</v>
      </c>
      <c r="G95" s="183">
        <f t="shared" si="43"/>
        <v>0.4</v>
      </c>
      <c r="H95" s="4">
        <v>0</v>
      </c>
      <c r="I95" s="48">
        <f>inputs!$B$11*H95/(0.65*G95^2)</f>
        <v>0</v>
      </c>
      <c r="J95" s="48">
        <f t="shared" si="44"/>
        <v>0</v>
      </c>
      <c r="K95" s="48">
        <f t="shared" si="49"/>
        <v>0</v>
      </c>
      <c r="L95" s="5">
        <f t="shared" si="45"/>
        <v>24414.0625</v>
      </c>
      <c r="M95" s="50">
        <f t="shared" si="50"/>
        <v>0</v>
      </c>
      <c r="N95" s="9">
        <f t="shared" si="51"/>
        <v>0</v>
      </c>
      <c r="O95" s="9">
        <f t="shared" si="52"/>
        <v>0</v>
      </c>
      <c r="P95" s="9">
        <f t="shared" si="53"/>
        <v>0</v>
      </c>
      <c r="Q95" s="9">
        <f>(IF(I95=0,0,(($AK$35/2)*(M95/$M$98))/(inputs!$G$11*I95)))*8*1024*1024/30/24/60/60</f>
        <v>0</v>
      </c>
      <c r="R95" s="9">
        <f>(IF(I95=0,0,(($AI$35/2/(1+inputs!$F$16))*(M95/$M$98))/((1-inputs!$G$11)*I95)))*8*1024*1024/30/24/60/60</f>
        <v>0</v>
      </c>
      <c r="S95" s="7">
        <f t="shared" si="54"/>
        <v>0</v>
      </c>
      <c r="T95" s="9">
        <f>(W95*inputs!$F$11/inputs!$F$6/24)/(1+$AI$28)</f>
        <v>1.5798057553119575</v>
      </c>
      <c r="U95" s="9">
        <f>IF(I95=0,0,(0.5*T95*I95)/(inputs!$G$11*I95))</f>
        <v>0</v>
      </c>
      <c r="V95" s="9">
        <f>IF(I95=0,0,0.5*T95/(1-inputs!$G$11))</f>
        <v>0</v>
      </c>
      <c r="W95" s="9">
        <f t="shared" si="55"/>
        <v>23.84185791015625</v>
      </c>
      <c r="X95" s="189"/>
      <c r="Y95" s="19">
        <f>inputs!$L$58</f>
        <v>0.5</v>
      </c>
      <c r="Z95" s="7">
        <f>inputs!$K$58</f>
        <v>1000</v>
      </c>
      <c r="AA95" s="7">
        <f t="shared" si="46"/>
        <v>466.86907200636017</v>
      </c>
      <c r="AB95" s="7">
        <f t="shared" si="47"/>
        <v>66.261855987279631</v>
      </c>
      <c r="AC95" s="7">
        <f t="shared" si="56"/>
        <v>500</v>
      </c>
      <c r="AD95" s="7">
        <f t="shared" si="48"/>
        <v>33.130927993639816</v>
      </c>
      <c r="AE95" s="7">
        <f t="shared" si="57"/>
        <v>533.13092799363983</v>
      </c>
      <c r="AF95" s="7">
        <f t="shared" si="58"/>
        <v>0</v>
      </c>
      <c r="AQ95" s="75"/>
      <c r="AR95" s="224" t="s">
        <v>110</v>
      </c>
      <c r="AS95" s="224" t="s">
        <v>93</v>
      </c>
      <c r="AT95" s="63" t="s">
        <v>74</v>
      </c>
      <c r="AU95" s="63"/>
      <c r="AV95" s="133">
        <f>AV69*AV82</f>
        <v>5000</v>
      </c>
      <c r="AW95" s="133">
        <f>AV95*12</f>
        <v>60000</v>
      </c>
      <c r="AX95" s="133">
        <f>SUM(AV95:AV98)*12</f>
        <v>697200</v>
      </c>
      <c r="AY95" s="133"/>
      <c r="AZ95" s="63"/>
      <c r="BA95" s="65"/>
      <c r="BB95" s="65"/>
      <c r="BC95" s="143"/>
    </row>
    <row r="96" spans="1:55" x14ac:dyDescent="0.25">
      <c r="A96" s="7">
        <v>36</v>
      </c>
      <c r="B96" s="181" t="s">
        <v>259</v>
      </c>
      <c r="F96" s="184">
        <v>800</v>
      </c>
      <c r="G96" s="183">
        <f t="shared" si="43"/>
        <v>0.5</v>
      </c>
      <c r="H96" s="4">
        <v>0</v>
      </c>
      <c r="I96" s="48">
        <f>inputs!$B$11*H96/(0.65*G96^2)</f>
        <v>0</v>
      </c>
      <c r="J96" s="48">
        <f t="shared" si="44"/>
        <v>0</v>
      </c>
      <c r="K96" s="48">
        <f t="shared" si="49"/>
        <v>0</v>
      </c>
      <c r="L96" s="5">
        <f t="shared" si="45"/>
        <v>24414.0625</v>
      </c>
      <c r="M96" s="50">
        <f t="shared" si="50"/>
        <v>0</v>
      </c>
      <c r="N96" s="9">
        <f t="shared" si="51"/>
        <v>0</v>
      </c>
      <c r="O96" s="9">
        <f t="shared" si="52"/>
        <v>0</v>
      </c>
      <c r="P96" s="9">
        <f t="shared" si="53"/>
        <v>0</v>
      </c>
      <c r="Q96" s="9">
        <f>(IF(I96=0,0,(($AK$35/2)*(M96/$M$98))/(inputs!$G$11*I96)))*8*1024*1024/30/24/60/60</f>
        <v>0</v>
      </c>
      <c r="R96" s="9">
        <f>(IF(I96=0,0,(($AI$35/2/(1+inputs!$F$16))*(M96/$M$98))/((1-inputs!$G$11)*I96)))*8*1024*1024/30/24/60/60</f>
        <v>0</v>
      </c>
      <c r="S96" s="7">
        <f t="shared" si="54"/>
        <v>0</v>
      </c>
      <c r="T96" s="9">
        <f>(W96*inputs!$F$11/inputs!$F$6/24)/(1+$AI$28)</f>
        <v>1.5798057553119575</v>
      </c>
      <c r="U96" s="9">
        <f>IF(I96=0,0,(0.5*T96*I96)/(inputs!$G$11*I96))</f>
        <v>0</v>
      </c>
      <c r="V96" s="9">
        <f>IF(I96=0,0,0.5*T96/(1-inputs!$G$11))</f>
        <v>0</v>
      </c>
      <c r="W96" s="9">
        <f t="shared" si="55"/>
        <v>23.84185791015625</v>
      </c>
      <c r="Y96" s="19">
        <f>inputs!$L$58</f>
        <v>0.5</v>
      </c>
      <c r="Z96" s="7">
        <f>inputs!$K$58</f>
        <v>1000</v>
      </c>
      <c r="AA96" s="7">
        <f t="shared" si="46"/>
        <v>466.86907200636017</v>
      </c>
      <c r="AB96" s="7">
        <f t="shared" si="47"/>
        <v>66.261855987279631</v>
      </c>
      <c r="AC96" s="7">
        <f t="shared" si="56"/>
        <v>500</v>
      </c>
      <c r="AD96" s="7">
        <f t="shared" si="48"/>
        <v>33.130927993639816</v>
      </c>
      <c r="AE96" s="7">
        <f t="shared" si="57"/>
        <v>533.13092799363983</v>
      </c>
      <c r="AF96" s="7">
        <f t="shared" si="58"/>
        <v>0</v>
      </c>
      <c r="AQ96" s="75"/>
      <c r="AR96" s="224"/>
      <c r="AS96" s="224" t="s">
        <v>94</v>
      </c>
      <c r="AT96" s="63" t="s">
        <v>74</v>
      </c>
      <c r="AU96" s="63"/>
      <c r="AV96" s="133">
        <f>AV70*AV83</f>
        <v>48600</v>
      </c>
      <c r="AW96" s="133">
        <f t="shared" ref="AW96:AW98" si="60">AV96*12</f>
        <v>583200</v>
      </c>
      <c r="AX96" s="133"/>
      <c r="AY96" s="133"/>
      <c r="AZ96" s="63"/>
      <c r="BA96" s="65"/>
      <c r="BB96" s="65"/>
      <c r="BC96" s="143"/>
    </row>
    <row r="97" spans="1:55" x14ac:dyDescent="0.25">
      <c r="A97" s="7">
        <v>37</v>
      </c>
      <c r="B97" s="181" t="s">
        <v>263</v>
      </c>
      <c r="F97" s="184">
        <v>700</v>
      </c>
      <c r="G97" s="183">
        <f t="shared" si="43"/>
        <v>0.6</v>
      </c>
      <c r="H97" s="4">
        <v>0</v>
      </c>
      <c r="I97" s="48">
        <f>inputs!$B$11*H97/(0.65*G97^2)</f>
        <v>0</v>
      </c>
      <c r="J97" s="48">
        <f t="shared" si="44"/>
        <v>0</v>
      </c>
      <c r="K97" s="48">
        <f t="shared" si="49"/>
        <v>0</v>
      </c>
      <c r="L97" s="5">
        <f t="shared" si="45"/>
        <v>24414.0625</v>
      </c>
      <c r="M97" s="50">
        <f t="shared" si="50"/>
        <v>0</v>
      </c>
      <c r="N97" s="9">
        <f t="shared" si="51"/>
        <v>0</v>
      </c>
      <c r="O97" s="9">
        <f t="shared" si="52"/>
        <v>0</v>
      </c>
      <c r="P97" s="9">
        <f t="shared" si="53"/>
        <v>0</v>
      </c>
      <c r="Q97" s="9">
        <f>(IF(I97=0,0,(($AK$35/2)*(M97/$M$98))/(inputs!$G$11*I97)))*8*1024*1024/30/24/60/60</f>
        <v>0</v>
      </c>
      <c r="R97" s="9">
        <f>(IF(I97=0,0,(($AI$35/2/(1+inputs!$F$16))*(M97/$M$98))/((1-inputs!$G$11)*I97)))*8*1024*1024/30/24/60/60</f>
        <v>0</v>
      </c>
      <c r="T97" s="9">
        <f>(W97*inputs!$F$11/inputs!$F$6/24)/(1+$AI$28)</f>
        <v>1.5798057553119575</v>
      </c>
      <c r="U97" s="9">
        <f>IF(I97=0,0,(0.5*T97*I97)/(inputs!$G$11*I97))</f>
        <v>0</v>
      </c>
      <c r="V97" s="9">
        <f>IF(I97=0,0,0.5*T97/(1-inputs!$G$11))</f>
        <v>0</v>
      </c>
      <c r="W97" s="9">
        <f>L97/1024</f>
        <v>23.84185791015625</v>
      </c>
      <c r="Y97" s="19">
        <f>inputs!$L$58</f>
        <v>0.5</v>
      </c>
      <c r="Z97" s="7">
        <f>inputs!$K$58</f>
        <v>1000</v>
      </c>
      <c r="AA97" s="7">
        <f t="shared" si="46"/>
        <v>466.86907200636017</v>
      </c>
      <c r="AB97" s="7">
        <f t="shared" si="47"/>
        <v>66.261855987279631</v>
      </c>
      <c r="AC97" s="7">
        <f t="shared" si="56"/>
        <v>500</v>
      </c>
      <c r="AD97" s="7">
        <f t="shared" si="48"/>
        <v>33.130927993639816</v>
      </c>
      <c r="AE97" s="7">
        <f t="shared" si="57"/>
        <v>533.13092799363983</v>
      </c>
      <c r="AF97" s="7">
        <f t="shared" si="58"/>
        <v>0</v>
      </c>
      <c r="AQ97" s="75"/>
      <c r="AR97" s="224"/>
      <c r="AS97" s="224" t="s">
        <v>95</v>
      </c>
      <c r="AT97" s="63" t="s">
        <v>74</v>
      </c>
      <c r="AU97" s="63"/>
      <c r="AV97" s="133">
        <f>AV71*AV84</f>
        <v>500</v>
      </c>
      <c r="AW97" s="133">
        <f t="shared" si="60"/>
        <v>6000</v>
      </c>
      <c r="AX97" s="133"/>
      <c r="AY97" s="133"/>
      <c r="AZ97" s="63"/>
      <c r="BA97" s="65"/>
      <c r="BB97" s="65"/>
      <c r="BC97" s="143"/>
    </row>
    <row r="98" spans="1:55" x14ac:dyDescent="0.25">
      <c r="G98" s="183"/>
      <c r="I98" s="49">
        <f>SUM(I80:I97)</f>
        <v>146.76923076923075</v>
      </c>
      <c r="J98" s="49">
        <f>SUM(J80:J97)</f>
        <v>148</v>
      </c>
      <c r="K98" s="49">
        <f>ROUNDUP(SUM(K80:K97),0)</f>
        <v>50</v>
      </c>
      <c r="L98" s="20"/>
      <c r="M98" s="20">
        <f>SUM(M80:M97)</f>
        <v>4204687.5</v>
      </c>
      <c r="O98" s="49">
        <f>SUM(O80:O97)</f>
        <v>4061.5081787109375</v>
      </c>
      <c r="U98" s="9"/>
      <c r="V98" s="9"/>
      <c r="X98" s="187"/>
      <c r="Z98"/>
      <c r="AA98" s="7">
        <f>(AA80*$K$80+AA81*$K$81+AA82*$K$82+AA83*$K$83+AA84*$K$84+AA85*$K$85+AA86*$K$86+AA87*$K$87+AA88*$K$88+AA89*$K$89+AA90*$K$90+AA91*$K$91+AA92*$K$92+AA93*$K$93+AA94*$K$94+AA95*$K$95+AA96*$K$96+AA97*$K$97)*24*30/1000/1000/1000</f>
        <v>1.6807286592228961E-2</v>
      </c>
      <c r="AB98" s="7">
        <f>(AB80*$K$80+AB81*$K$81+AB82*$K$82+AB83*$K$83+AB84*$K$84+AB85*$K$85+AB86*$K$86+AB87*$K$87+AB88*$K$88+AB89*$K$89+AB90*$K$90+AB91*$K$91+AB92*$K$92+AB93*$K$93+AB94*$K$94+AB95*$K$95+AB96*$K$96+AB97*$K$97)*24*30/1000/1000/1000</f>
        <v>2.385426815542067E-3</v>
      </c>
      <c r="AC98" s="7">
        <f>(AC80*$K$80+AC81*$K$81+AC82*$K$82+AC83*$K$83+AC84*$K$84+AC85*$K$85+AC86*$K$86+AC87*$K$87+AC88*$K$88+AC89*$K$89+AC90*$K$90+AC91*$K$91+AC92*$K$92+AC93*$K$93+AC94*$K$94+AC95*$K$95+AC96*$K$96+AC97*$K$97)*24*30/1000/1000/1000</f>
        <v>1.7999999999999999E-2</v>
      </c>
      <c r="AD98" s="7">
        <f>(AD80*$K$80+AD81*$K$81+AD82*$K$82+AD83*$K$83+AD84*$K$84+AD85*$K$85+AD86*$K$86+AD87*$K$87+AD88*$K$88+AD89*$K$89+AD90*$K$90+AD91*$K$91+AD92*$K$92+AD93*$K$93+AD94*$K$94+AD95*$K$95+AD96*$K$96+AD97*$K$97)*24*30/1000/1000/1000</f>
        <v>1.1927134077710335E-3</v>
      </c>
      <c r="AE98" s="7">
        <f>(AE80*$K$80+AE84*$K$84)*24*30/1000/1000/1000</f>
        <v>1.9192713407771039E-2</v>
      </c>
      <c r="AF98" s="7">
        <f>SUM(AF80:AF97)</f>
        <v>1.9192713407771036E-2</v>
      </c>
      <c r="AQ98" s="75"/>
      <c r="AR98" s="224"/>
      <c r="AS98" s="224" t="s">
        <v>96</v>
      </c>
      <c r="AT98" s="63" t="s">
        <v>74</v>
      </c>
      <c r="AU98" s="63"/>
      <c r="AV98" s="133">
        <f>AV72*AV85</f>
        <v>4000</v>
      </c>
      <c r="AW98" s="133">
        <f t="shared" si="60"/>
        <v>48000</v>
      </c>
      <c r="AX98" s="133"/>
      <c r="AY98" s="133"/>
      <c r="AZ98" s="63"/>
      <c r="BA98" s="65"/>
      <c r="BB98" s="65"/>
      <c r="BC98" s="143"/>
    </row>
    <row r="99" spans="1:55" x14ac:dyDescent="0.25">
      <c r="E99" s="7" t="s">
        <v>337</v>
      </c>
      <c r="F99" s="184">
        <v>2600</v>
      </c>
      <c r="H99" s="14">
        <f>H80+H86+H92+H54+H61+H64+H67+H70+H73</f>
        <v>1.0013333333333334</v>
      </c>
      <c r="K99" s="20"/>
      <c r="L99" s="20"/>
      <c r="M99" s="20"/>
      <c r="T99" s="9">
        <f>(W99/inputs!$F$6/24)/(1+$AI$28)</f>
        <v>6.5719919420977444</v>
      </c>
      <c r="U99" s="9">
        <f>IF(I80=0,0,(0.5*T99)/(inputs!$G$11))</f>
        <v>21.906639806992484</v>
      </c>
      <c r="V99" s="9">
        <f>IF(I80=0,0,0.5*T99/(1-inputs!$G$11))</f>
        <v>3.8658776129986734</v>
      </c>
      <c r="W99" s="20">
        <f>W80</f>
        <v>29.754638671875</v>
      </c>
      <c r="X99" s="192"/>
      <c r="Z99"/>
      <c r="AE99" s="7" t="s">
        <v>167</v>
      </c>
      <c r="AQ99" s="75"/>
      <c r="AR99" s="63" t="s">
        <v>66</v>
      </c>
      <c r="AS99" s="63" t="s">
        <v>112</v>
      </c>
      <c r="AT99" s="63" t="s">
        <v>74</v>
      </c>
      <c r="AU99" s="63"/>
      <c r="AV99" s="133">
        <f>AV73*1000*AV86</f>
        <v>2642.6689639876763</v>
      </c>
      <c r="AW99" s="133"/>
      <c r="AX99" s="133">
        <f>AV99*12</f>
        <v>31712.027567852114</v>
      </c>
      <c r="AY99" s="133"/>
      <c r="AZ99" s="63"/>
      <c r="BA99" s="65"/>
      <c r="BB99" s="65"/>
      <c r="BC99" s="143"/>
    </row>
    <row r="100" spans="1:55" x14ac:dyDescent="0.25">
      <c r="E100" s="7" t="s">
        <v>337</v>
      </c>
      <c r="F100" s="184">
        <v>2100</v>
      </c>
      <c r="H100" s="14">
        <f>H65+H68+H71+H74+H81+H87+H93</f>
        <v>0.84816333333333338</v>
      </c>
      <c r="K100" s="20"/>
      <c r="L100" s="20"/>
      <c r="M100" s="20"/>
      <c r="S100" s="7">
        <f>SUM(S80:S96)</f>
        <v>270.01689665037532</v>
      </c>
      <c r="T100" s="7">
        <f>T99*J98*0.3</f>
        <v>291.79644222913981</v>
      </c>
      <c r="U100" s="7">
        <f>T99*0.3</f>
        <v>1.9715975826293233</v>
      </c>
      <c r="V100" s="9"/>
      <c r="X100" s="192"/>
      <c r="Z100"/>
      <c r="AQ100" s="75"/>
      <c r="AR100" s="224" t="s">
        <v>68</v>
      </c>
      <c r="AS100" s="63"/>
      <c r="AT100" s="63" t="s">
        <v>74</v>
      </c>
      <c r="AU100" s="63"/>
      <c r="AV100" s="133">
        <f>AV74*AV87</f>
        <v>8000</v>
      </c>
      <c r="AW100" s="133"/>
      <c r="AX100" s="133">
        <f>AV100*12</f>
        <v>96000</v>
      </c>
      <c r="AY100" s="133"/>
      <c r="AZ100" s="63"/>
      <c r="BA100" s="65"/>
      <c r="BB100" s="65"/>
      <c r="BC100" s="143"/>
    </row>
    <row r="101" spans="1:55" x14ac:dyDescent="0.25">
      <c r="E101" s="7" t="s">
        <v>337</v>
      </c>
      <c r="F101" s="184">
        <v>1800</v>
      </c>
      <c r="H101" s="14">
        <f>H55+H56+H62+H66+H69+H72+H75+H82+H88+H94</f>
        <v>1</v>
      </c>
      <c r="K101" s="20"/>
      <c r="L101" s="20"/>
      <c r="M101" s="20"/>
      <c r="V101" s="9"/>
      <c r="X101" s="192"/>
      <c r="Z101"/>
      <c r="AQ101" s="75"/>
      <c r="AR101" s="63" t="s">
        <v>70</v>
      </c>
      <c r="AS101" s="63"/>
      <c r="AT101" s="63" t="s">
        <v>74</v>
      </c>
      <c r="AU101" s="63"/>
      <c r="AV101" s="133">
        <f>AV75*AV88</f>
        <v>308.06779785156249</v>
      </c>
      <c r="AW101" s="133"/>
      <c r="AX101" s="133"/>
      <c r="AY101" s="133"/>
      <c r="AZ101" s="63"/>
      <c r="BA101" s="65"/>
      <c r="BB101" s="65"/>
      <c r="BC101" s="143"/>
    </row>
    <row r="102" spans="1:55" x14ac:dyDescent="0.25">
      <c r="E102" s="7" t="s">
        <v>337</v>
      </c>
      <c r="F102" s="184">
        <v>900</v>
      </c>
      <c r="H102" s="14">
        <f>H58+H76+H83+H89+H95</f>
        <v>0</v>
      </c>
      <c r="K102" s="20"/>
      <c r="L102" s="20"/>
      <c r="M102" s="20">
        <f>M98/1024</f>
        <v>4106.14013671875</v>
      </c>
      <c r="U102" s="7">
        <f>W99/T99</f>
        <v>4.5274916545891992</v>
      </c>
      <c r="X102" s="192"/>
      <c r="Z102"/>
      <c r="AQ102" s="75"/>
      <c r="AR102" s="63"/>
      <c r="AS102" s="63"/>
      <c r="AT102" s="63"/>
      <c r="AU102" s="63"/>
      <c r="AV102" s="133"/>
      <c r="AW102" s="133"/>
      <c r="AX102" s="133"/>
      <c r="AY102" s="133"/>
      <c r="AZ102" s="63"/>
      <c r="BA102" s="65"/>
      <c r="BB102" s="65"/>
      <c r="BC102" s="143"/>
    </row>
    <row r="103" spans="1:55" x14ac:dyDescent="0.25">
      <c r="E103" s="7" t="s">
        <v>337</v>
      </c>
      <c r="F103" s="184">
        <v>800</v>
      </c>
      <c r="H103" s="14">
        <f>H57+H59+H63+H77+H84+H90+H96</f>
        <v>0.4</v>
      </c>
      <c r="K103" s="20"/>
      <c r="L103" s="20"/>
      <c r="M103" s="20"/>
      <c r="X103" s="192"/>
      <c r="Z103"/>
      <c r="AQ103" s="75"/>
      <c r="AR103" s="63" t="s">
        <v>140</v>
      </c>
      <c r="AS103" s="63"/>
      <c r="AT103" s="63" t="s">
        <v>74</v>
      </c>
      <c r="AU103" s="63"/>
      <c r="AV103" s="133">
        <f>AV76*AV89/(AV77*12)</f>
        <v>0</v>
      </c>
      <c r="AW103" s="133"/>
      <c r="AX103" s="133"/>
      <c r="AY103" s="133"/>
      <c r="AZ103" s="63"/>
      <c r="BA103" s="65"/>
      <c r="BB103" s="65"/>
      <c r="BC103" s="143"/>
    </row>
    <row r="104" spans="1:55" x14ac:dyDescent="0.25">
      <c r="E104" s="7" t="s">
        <v>337</v>
      </c>
      <c r="F104" s="184">
        <v>700</v>
      </c>
      <c r="H104" s="14">
        <f>H60+H85+H91+H97</f>
        <v>0</v>
      </c>
      <c r="K104" s="20"/>
      <c r="L104" s="20"/>
      <c r="M104" s="20"/>
      <c r="X104" s="194"/>
      <c r="Z104"/>
      <c r="AQ104" s="75"/>
      <c r="AR104" s="63" t="s">
        <v>140</v>
      </c>
      <c r="AS104" s="63"/>
      <c r="AT104" s="63" t="s">
        <v>74</v>
      </c>
      <c r="AU104" s="63"/>
      <c r="AV104" s="133">
        <f>AV78*AV90/(AV79*12)</f>
        <v>0</v>
      </c>
      <c r="AW104" s="133"/>
      <c r="AX104" s="133"/>
      <c r="AY104" s="133"/>
      <c r="AZ104" s="63"/>
      <c r="BA104" s="65"/>
      <c r="BB104" s="65"/>
      <c r="BC104" s="143"/>
    </row>
    <row r="105" spans="1:55" x14ac:dyDescent="0.25">
      <c r="E105" s="7" t="s">
        <v>27</v>
      </c>
      <c r="F105" s="184">
        <v>900</v>
      </c>
      <c r="H105" s="14">
        <f>SUM(H27:H29)</f>
        <v>0.5</v>
      </c>
      <c r="K105" s="20"/>
      <c r="L105" s="20"/>
      <c r="M105" s="20"/>
      <c r="X105" s="192"/>
      <c r="Z105"/>
      <c r="AQ105" s="75"/>
      <c r="AR105" s="224" t="s">
        <v>395</v>
      </c>
      <c r="AS105" s="63"/>
      <c r="AT105" s="63"/>
      <c r="AU105" s="63"/>
      <c r="AV105" s="133">
        <f>0.5*(2394.82623236671)*(1+0.05)*100</f>
        <v>125728.37719925228</v>
      </c>
      <c r="AW105" s="133"/>
      <c r="AX105" s="133"/>
      <c r="AY105" s="133"/>
      <c r="AZ105" s="63"/>
      <c r="BA105" s="65"/>
      <c r="BB105" s="65"/>
      <c r="BC105" s="143"/>
    </row>
    <row r="106" spans="1:55" x14ac:dyDescent="0.25">
      <c r="E106" s="7" t="s">
        <v>27</v>
      </c>
      <c r="F106" s="184">
        <v>2100</v>
      </c>
      <c r="H106" s="14">
        <f>SUM(H14:H25)</f>
        <v>0.15183666666666662</v>
      </c>
      <c r="K106" s="20"/>
      <c r="L106" s="20"/>
      <c r="M106" s="20"/>
      <c r="P106" s="219">
        <f>inputs!F11*inputs!G11</f>
        <v>4.4999999999999998E-2</v>
      </c>
      <c r="X106" s="192"/>
      <c r="Z106"/>
      <c r="AQ106" s="75"/>
      <c r="AR106" s="63"/>
      <c r="AS106" s="63"/>
      <c r="AT106" s="63"/>
      <c r="AU106" s="63"/>
      <c r="AV106" s="133"/>
      <c r="AW106" s="133"/>
      <c r="AX106" s="133"/>
      <c r="AY106" s="133"/>
      <c r="AZ106" s="63"/>
      <c r="BA106" s="65"/>
      <c r="BB106" s="65"/>
      <c r="BC106" s="143"/>
    </row>
    <row r="107" spans="1:55" x14ac:dyDescent="0.25">
      <c r="E107" s="7" t="s">
        <v>25</v>
      </c>
      <c r="F107" s="184">
        <v>900</v>
      </c>
      <c r="H107" s="19">
        <f>SUM(H5:H6)</f>
        <v>1</v>
      </c>
      <c r="K107" s="20"/>
      <c r="L107" s="20"/>
      <c r="M107" s="20"/>
      <c r="X107" s="192"/>
      <c r="Z107"/>
      <c r="AQ107" s="75"/>
      <c r="AR107" s="63"/>
      <c r="AS107" s="63"/>
      <c r="AT107" s="63"/>
      <c r="AU107" s="63"/>
      <c r="AV107" s="133"/>
      <c r="AW107" s="133"/>
      <c r="AX107" s="133"/>
      <c r="AY107" s="133"/>
      <c r="AZ107" s="63"/>
      <c r="BA107" s="65"/>
      <c r="BB107" s="65"/>
      <c r="BC107" s="143"/>
    </row>
    <row r="108" spans="1:55" x14ac:dyDescent="0.25">
      <c r="E108" s="7" t="s">
        <v>25</v>
      </c>
      <c r="F108" s="184">
        <v>1800</v>
      </c>
      <c r="H108" s="19">
        <f>H101</f>
        <v>1</v>
      </c>
      <c r="K108" s="20"/>
      <c r="L108" s="20"/>
      <c r="M108" s="20"/>
      <c r="X108" s="192"/>
      <c r="Z108"/>
      <c r="AQ108" s="75"/>
      <c r="AR108" s="63"/>
      <c r="AS108" s="63"/>
      <c r="AT108" s="63"/>
      <c r="AU108" s="63"/>
      <c r="AV108" s="133"/>
      <c r="AW108" s="133"/>
      <c r="AX108" s="133"/>
      <c r="AY108" s="133"/>
      <c r="AZ108" s="63"/>
      <c r="BA108" s="65"/>
      <c r="BB108" s="65"/>
      <c r="BC108" s="143"/>
    </row>
    <row r="109" spans="1:55" x14ac:dyDescent="0.25">
      <c r="F109" s="184"/>
      <c r="G109" s="11"/>
      <c r="H109" s="25"/>
      <c r="I109" s="25"/>
      <c r="J109" s="25"/>
      <c r="M109" s="20"/>
      <c r="U109" s="7">
        <f>W80*30.9</f>
        <v>919.4183349609375</v>
      </c>
      <c r="X109" s="192"/>
      <c r="Z109"/>
      <c r="AQ109" s="79"/>
      <c r="AR109" s="80"/>
      <c r="AS109" s="80"/>
      <c r="AT109" s="80"/>
      <c r="AU109" s="80"/>
      <c r="AV109" s="144"/>
      <c r="AW109" s="80"/>
      <c r="AX109" s="80"/>
      <c r="AY109" s="80"/>
      <c r="AZ109" s="80"/>
      <c r="BA109" s="144"/>
      <c r="BB109" s="144"/>
      <c r="BC109" s="145"/>
    </row>
    <row r="110" spans="1:55" x14ac:dyDescent="0.25">
      <c r="D110" s="6" t="s">
        <v>45</v>
      </c>
      <c r="E110" s="6" t="s">
        <v>46</v>
      </c>
      <c r="M110" s="20"/>
      <c r="X110" s="192"/>
      <c r="Z110"/>
    </row>
    <row r="111" spans="1:55" x14ac:dyDescent="0.25">
      <c r="D111" s="7" t="s">
        <v>186</v>
      </c>
      <c r="F111" s="8">
        <f>(((L15-L14)*K14/(2*K14+K15)+((K14+K15)/(2*K14+K15))*(L21-L15)/2))*60*60/8/1024/1024/1024</f>
        <v>2.3297843654290773E-3</v>
      </c>
      <c r="X111" s="192"/>
      <c r="Z111"/>
      <c r="AV111" s="20"/>
      <c r="AW111" s="20"/>
    </row>
    <row r="112" spans="1:55" x14ac:dyDescent="0.25">
      <c r="L112" s="11" t="s">
        <v>218</v>
      </c>
      <c r="M112" s="11" t="s">
        <v>219</v>
      </c>
      <c r="X112" s="192"/>
      <c r="Z112"/>
      <c r="AQ112" s="76" t="s">
        <v>114</v>
      </c>
      <c r="AR112" s="77"/>
      <c r="AS112" s="77"/>
      <c r="AT112" s="77"/>
      <c r="AU112" s="77"/>
      <c r="AV112" s="77" t="s">
        <v>236</v>
      </c>
      <c r="AW112" s="136"/>
      <c r="AX112" s="77"/>
      <c r="AY112" s="77"/>
      <c r="AZ112" s="77"/>
      <c r="BA112" s="77"/>
      <c r="BB112" s="77"/>
      <c r="BC112" s="125"/>
    </row>
    <row r="113" spans="4:55" x14ac:dyDescent="0.25">
      <c r="D113" s="7" t="s">
        <v>79</v>
      </c>
      <c r="E113" s="7">
        <f>inputs!K43</f>
        <v>0</v>
      </c>
      <c r="G113" s="7" t="s">
        <v>184</v>
      </c>
      <c r="H113" s="7" t="s">
        <v>196</v>
      </c>
      <c r="L113" s="7">
        <f>($K$26)*4</f>
        <v>56</v>
      </c>
      <c r="M113" s="7">
        <f>$K$14+$K$15*2+$K$21*4+$K$27+$K$28*2</f>
        <v>43</v>
      </c>
      <c r="X113" s="192"/>
      <c r="Z113"/>
      <c r="AQ113" s="75"/>
      <c r="AR113" s="63"/>
      <c r="AS113" s="63"/>
      <c r="AT113" s="63"/>
      <c r="AU113" s="63"/>
      <c r="AV113" s="63" t="s">
        <v>144</v>
      </c>
      <c r="AW113" s="69"/>
      <c r="AX113" s="69"/>
      <c r="AY113" s="6"/>
      <c r="AZ113" s="63"/>
      <c r="BA113" s="63"/>
      <c r="BB113" s="63"/>
      <c r="BC113" s="78"/>
    </row>
    <row r="114" spans="4:55" x14ac:dyDescent="0.25">
      <c r="G114" s="7" t="s">
        <v>47</v>
      </c>
      <c r="H114" s="7" t="s">
        <v>125</v>
      </c>
      <c r="K114" s="7" t="s">
        <v>40</v>
      </c>
      <c r="L114" s="7" t="s">
        <v>39</v>
      </c>
      <c r="M114" s="7" t="s">
        <v>182</v>
      </c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92"/>
      <c r="Z114"/>
      <c r="AQ114" s="75" t="s">
        <v>115</v>
      </c>
      <c r="AR114" s="63"/>
      <c r="AS114" s="63"/>
      <c r="AT114" s="63"/>
      <c r="AU114" s="63"/>
      <c r="AV114" s="63"/>
      <c r="AW114" s="63"/>
      <c r="AX114" s="63"/>
      <c r="AY114" s="63"/>
      <c r="AZ114" s="63"/>
      <c r="BA114" s="63"/>
      <c r="BB114" s="63"/>
      <c r="BC114" s="78"/>
    </row>
    <row r="115" spans="4:55" x14ac:dyDescent="0.25">
      <c r="E115" s="32"/>
      <c r="F115" s="7" t="s">
        <v>25</v>
      </c>
      <c r="G115" s="9">
        <f>G118*$AI$14</f>
        <v>16.368011990681694</v>
      </c>
      <c r="H115" s="8">
        <f>IF(((G115-AK22)/30)*inputs!F3/inputs!F8&lt;0,0,((G115-AK22)/30)*inputs!F3/inputs!F8)</f>
        <v>0.2608063948981531</v>
      </c>
      <c r="I115" s="8"/>
      <c r="J115" s="8"/>
      <c r="K115" s="17" t="s">
        <v>22</v>
      </c>
      <c r="L115" s="17" t="s">
        <v>22</v>
      </c>
      <c r="M115" s="17" t="s">
        <v>22</v>
      </c>
      <c r="X115" s="192"/>
      <c r="AQ115" s="75"/>
      <c r="AR115" s="63" t="s">
        <v>116</v>
      </c>
      <c r="AS115" s="63"/>
      <c r="AT115" s="63" t="s">
        <v>74</v>
      </c>
      <c r="AV115" s="133">
        <f>(AD11+AD30+AD74+AD98)*1000*AV86</f>
        <v>274.75823146776639</v>
      </c>
      <c r="AW115" s="65"/>
      <c r="AX115" s="63"/>
      <c r="AY115" s="63"/>
      <c r="AZ115" s="63"/>
      <c r="BA115" s="63"/>
      <c r="BB115" s="63"/>
      <c r="BC115" s="78"/>
    </row>
    <row r="116" spans="4:55" x14ac:dyDescent="0.25">
      <c r="E116" s="20"/>
      <c r="F116" s="7" t="s">
        <v>27</v>
      </c>
      <c r="G116" s="9">
        <f>G118*$AI$15</f>
        <v>427.15483125756163</v>
      </c>
      <c r="H116" s="8">
        <f>IF(((G116-AK23)/30)*inputs!F3/inputs!F8&lt;0,0,((G116-AK23)/30)*inputs!F3/inputs!F8)+H115+H117</f>
        <v>54.444449529758288</v>
      </c>
      <c r="I116" s="8"/>
      <c r="J116" s="8"/>
      <c r="K116" s="9">
        <f>ROUNDUP(IF(SUM(K14:K25)*4-(K14+K15*2+K21*4)-H116/F111&lt;0,SUM(K14:K25)*4-(K14+K15*2+K21*4),H116/F111),0)</f>
        <v>28</v>
      </c>
      <c r="L116" s="17">
        <f>IF(SUM(K14:K25)*4-(K116+K14+K15*2+K21*4)&lt;0,0,SUM(K14:K25)*4-(K116+K14+K15*2+K21*4))</f>
        <v>0</v>
      </c>
      <c r="M116" s="33">
        <f>IF(H116-(K116+L116)*F111&lt;0,0,H116-(K116+L116)*F111)</f>
        <v>54.379215567526273</v>
      </c>
      <c r="X116" s="192"/>
      <c r="AC116" s="17"/>
      <c r="AD116" s="20"/>
      <c r="AE116" s="9"/>
      <c r="AF116" s="17"/>
      <c r="AQ116" s="75"/>
      <c r="AR116" s="63" t="s">
        <v>117</v>
      </c>
      <c r="AS116" s="63"/>
      <c r="AT116" s="63" t="s">
        <v>74</v>
      </c>
      <c r="AV116" s="133">
        <f>(AC11+AC30+AC74+AC98)*1000*AV86</f>
        <v>4640.3280000000004</v>
      </c>
      <c r="AW116" s="65"/>
      <c r="AX116" s="63"/>
      <c r="AY116" s="63"/>
      <c r="AZ116" s="63"/>
      <c r="BA116" s="63"/>
      <c r="BB116" s="63"/>
      <c r="BC116" s="78"/>
    </row>
    <row r="117" spans="4:55" x14ac:dyDescent="0.25">
      <c r="E117" s="20"/>
      <c r="F117" s="7" t="s">
        <v>32</v>
      </c>
      <c r="G117" s="9">
        <f>G118*$AI$16</f>
        <v>2973.3696109308344</v>
      </c>
      <c r="H117" s="8">
        <f>IF(((G117-AK24)/30)*inputs!F3/inputs!F8&lt;0,0,((G117-AK24)/30)*inputs!F3/inputs!F8)</f>
        <v>47.377397411980887</v>
      </c>
      <c r="I117" s="8"/>
      <c r="J117" s="8"/>
      <c r="K117" s="17" t="s">
        <v>22</v>
      </c>
      <c r="L117" s="17" t="s">
        <v>22</v>
      </c>
      <c r="M117" s="17" t="s">
        <v>22</v>
      </c>
      <c r="AD117" s="20"/>
      <c r="AE117" s="9"/>
      <c r="AF117" s="17"/>
      <c r="AQ117" s="75" t="s">
        <v>118</v>
      </c>
      <c r="AR117" s="63"/>
      <c r="AS117" s="63"/>
      <c r="AT117" s="63"/>
      <c r="AU117" s="63"/>
      <c r="AV117" s="65"/>
      <c r="AW117" s="65"/>
      <c r="AX117" s="65"/>
      <c r="AY117" s="63"/>
      <c r="AZ117" s="63"/>
      <c r="BA117" s="63"/>
      <c r="BB117" s="63"/>
      <c r="BC117" s="78"/>
    </row>
    <row r="118" spans="4:55" x14ac:dyDescent="0.25">
      <c r="F118" s="7" t="s">
        <v>37</v>
      </c>
      <c r="G118" s="9">
        <f>IF(E113=1,(inputs!$L$4/6/(1+inputs!$F$13))-#REF!,(inputs!$L$4/6/(1+inputs!$F$13)))</f>
        <v>26665.978592057538</v>
      </c>
      <c r="M118" s="33"/>
      <c r="AD118" s="20"/>
      <c r="AQ118" s="75"/>
      <c r="AR118" s="63" t="s">
        <v>110</v>
      </c>
      <c r="AS118" s="63" t="s">
        <v>93</v>
      </c>
      <c r="AT118" s="63" t="s">
        <v>74</v>
      </c>
      <c r="AU118" s="63"/>
      <c r="AV118" s="133">
        <f>AV95</f>
        <v>5000</v>
      </c>
      <c r="AW118" s="65"/>
      <c r="AX118" s="65"/>
      <c r="AY118" s="63"/>
      <c r="AZ118" s="63"/>
      <c r="BA118" s="63"/>
      <c r="BB118" s="63"/>
      <c r="BC118" s="78"/>
    </row>
    <row r="119" spans="4:55" x14ac:dyDescent="0.25">
      <c r="E119" s="20"/>
      <c r="G119" s="172">
        <f>G118/30*inputs!F3/inputs!F8</f>
        <v>444.43297653429227</v>
      </c>
      <c r="H119" s="7">
        <f>G118/30*inputs!F3/inputs!F8-AI5</f>
        <v>428.80119199631054</v>
      </c>
      <c r="K119" s="7">
        <f>H119/F111</f>
        <v>184051.87980448056</v>
      </c>
      <c r="AE119" s="17"/>
      <c r="AQ119" s="75"/>
      <c r="AR119" s="63"/>
      <c r="AS119" s="63" t="s">
        <v>94</v>
      </c>
      <c r="AT119" s="63" t="s">
        <v>74</v>
      </c>
      <c r="AU119" s="63"/>
      <c r="AV119" s="133">
        <f>AV96</f>
        <v>48600</v>
      </c>
      <c r="AW119" s="65"/>
      <c r="AX119" s="65"/>
      <c r="AY119" s="63"/>
      <c r="AZ119" s="63"/>
      <c r="BA119" s="63"/>
      <c r="BB119" s="63"/>
      <c r="BC119" s="78"/>
    </row>
    <row r="120" spans="4:55" x14ac:dyDescent="0.25">
      <c r="D120" s="179" t="s">
        <v>25</v>
      </c>
      <c r="E120" s="179"/>
      <c r="F120" s="25"/>
      <c r="G120" s="179" t="s">
        <v>41</v>
      </c>
      <c r="H120" s="179" t="s">
        <v>26</v>
      </c>
      <c r="I120" s="184"/>
      <c r="J120" s="184"/>
      <c r="K120" s="179" t="s">
        <v>44</v>
      </c>
      <c r="L120" s="13" t="s">
        <v>42</v>
      </c>
      <c r="M120" s="179" t="s">
        <v>43</v>
      </c>
      <c r="N120" s="179"/>
      <c r="O120" s="184"/>
      <c r="P120" s="184"/>
      <c r="Q120" s="184"/>
      <c r="R120" s="184"/>
      <c r="S120" s="184"/>
      <c r="T120" s="184"/>
      <c r="U120" s="184"/>
      <c r="V120" s="184"/>
      <c r="W120" s="184"/>
      <c r="Y120" s="14" t="s">
        <v>131</v>
      </c>
      <c r="Z120" s="179" t="s">
        <v>133</v>
      </c>
      <c r="AA120" s="179" t="s">
        <v>134</v>
      </c>
      <c r="AB120" s="179" t="s">
        <v>135</v>
      </c>
      <c r="AC120" s="179" t="s">
        <v>136</v>
      </c>
      <c r="AD120" s="179" t="s">
        <v>132</v>
      </c>
      <c r="AE120" s="179" t="s">
        <v>6</v>
      </c>
      <c r="AQ120" s="75"/>
      <c r="AR120" s="63"/>
      <c r="AS120" s="63" t="s">
        <v>95</v>
      </c>
      <c r="AT120" s="63" t="s">
        <v>74</v>
      </c>
      <c r="AU120" s="63"/>
      <c r="AV120" s="133">
        <f>AV97</f>
        <v>500</v>
      </c>
      <c r="AW120" s="65"/>
      <c r="AX120" s="65"/>
      <c r="AY120" s="63"/>
      <c r="AZ120" s="63"/>
      <c r="BA120" s="63"/>
      <c r="BB120" s="63"/>
      <c r="BC120" s="78"/>
    </row>
    <row r="121" spans="4:55" x14ac:dyDescent="0.25">
      <c r="E121" s="179"/>
      <c r="F121" s="179">
        <v>900</v>
      </c>
      <c r="G121" s="167">
        <f>G5</f>
        <v>0.4</v>
      </c>
      <c r="H121" s="18">
        <f>$H$11-H122-H133</f>
        <v>0.49967105263157885</v>
      </c>
      <c r="I121" s="18"/>
      <c r="J121" s="18"/>
      <c r="K121" s="163">
        <f>ROUNDUP(inputs!$B$7*H121/(1.95*G121^2),0)</f>
        <v>974</v>
      </c>
      <c r="L121" s="17">
        <f>L5</f>
        <v>336</v>
      </c>
      <c r="M121" s="50">
        <f>L121*K121</f>
        <v>327264</v>
      </c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Y121" s="19">
        <f>inputs!$L$53</f>
        <v>0.6</v>
      </c>
      <c r="Z121" s="7">
        <f>inputs!$K$53</f>
        <v>2145</v>
      </c>
      <c r="AA121" s="7">
        <f>Y121*Z121*(1-AH135)</f>
        <v>0</v>
      </c>
      <c r="AB121" s="7">
        <f>Z121*AH135</f>
        <v>2145</v>
      </c>
      <c r="AC121" s="7">
        <f>Y121*Z121</f>
        <v>1287</v>
      </c>
      <c r="AD121" s="7">
        <f>(Z121-Y121*Z121)*AH135</f>
        <v>858</v>
      </c>
      <c r="AE121" s="7">
        <f>AA121+AB121</f>
        <v>2145</v>
      </c>
      <c r="AQ121" s="75"/>
      <c r="AR121" s="63"/>
      <c r="AS121" s="63" t="s">
        <v>96</v>
      </c>
      <c r="AT121" s="63" t="s">
        <v>74</v>
      </c>
      <c r="AU121" s="63"/>
      <c r="AV121" s="133">
        <f>AV98</f>
        <v>4000</v>
      </c>
      <c r="AW121" s="65"/>
      <c r="AX121" s="65"/>
      <c r="AY121" s="63"/>
      <c r="AZ121" s="63"/>
      <c r="BA121" s="63"/>
      <c r="BB121" s="63"/>
      <c r="BC121" s="78"/>
    </row>
    <row r="122" spans="4:55" x14ac:dyDescent="0.25">
      <c r="E122" s="179" t="s">
        <v>52</v>
      </c>
      <c r="F122" s="179">
        <v>900</v>
      </c>
      <c r="G122" s="168">
        <f>G6</f>
        <v>0.4</v>
      </c>
      <c r="H122" s="29">
        <f>K122*(1.95*G122^2)/inputs!$B$7</f>
        <v>0.50032894736842115</v>
      </c>
      <c r="I122" s="29"/>
      <c r="J122" s="29"/>
      <c r="K122" s="164">
        <f>K132</f>
        <v>975</v>
      </c>
      <c r="L122" s="17">
        <f>L6</f>
        <v>184.33333333333334</v>
      </c>
      <c r="M122" s="50">
        <f>L122*K122</f>
        <v>179725</v>
      </c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95"/>
      <c r="Y122" s="19">
        <f>inputs!$L$53</f>
        <v>0.6</v>
      </c>
      <c r="Z122" s="7">
        <f>inputs!$K$53</f>
        <v>2145</v>
      </c>
      <c r="AA122" s="7">
        <f>Y122*Z122*(1-AH135)</f>
        <v>0</v>
      </c>
      <c r="AB122" s="7">
        <f>Z122*AH135</f>
        <v>2145</v>
      </c>
      <c r="AC122" s="7">
        <f>Y122*Z122</f>
        <v>1287</v>
      </c>
      <c r="AD122" s="7">
        <f>(Z122-Y122*Z122)*AH135</f>
        <v>858</v>
      </c>
      <c r="AE122" s="7">
        <f>AA122+AB122</f>
        <v>2145</v>
      </c>
      <c r="AQ122" s="75"/>
      <c r="AR122" s="63" t="s">
        <v>119</v>
      </c>
      <c r="AS122" s="63"/>
      <c r="AT122" s="63" t="s">
        <v>74</v>
      </c>
      <c r="AU122" s="63"/>
      <c r="AV122" s="133">
        <f>AV100</f>
        <v>8000</v>
      </c>
      <c r="AW122" s="65"/>
      <c r="AX122" s="65"/>
      <c r="AY122" s="63"/>
      <c r="AZ122" s="63"/>
      <c r="BA122" s="63"/>
      <c r="BB122" s="63"/>
      <c r="BC122" s="78"/>
    </row>
    <row r="123" spans="4:55" x14ac:dyDescent="0.25">
      <c r="E123" s="179"/>
      <c r="F123" s="179">
        <v>1800</v>
      </c>
      <c r="G123" s="126">
        <f>G9</f>
        <v>0.25</v>
      </c>
      <c r="H123" s="162">
        <f>H9</f>
        <v>0</v>
      </c>
      <c r="I123" s="162"/>
      <c r="J123" s="162"/>
      <c r="K123" s="165">
        <f>ROUNDUP(inputs!$B$7*H123/(1.95*G123^2)-K138,0)</f>
        <v>0</v>
      </c>
      <c r="L123" s="17">
        <f>L9</f>
        <v>417.66666666666669</v>
      </c>
      <c r="M123" s="50">
        <f>L123*K123</f>
        <v>0</v>
      </c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95"/>
      <c r="Y123" s="19">
        <f>inputs!$L$53</f>
        <v>0.6</v>
      </c>
      <c r="Z123" s="7">
        <f>inputs!$K$53</f>
        <v>2145</v>
      </c>
      <c r="AA123" s="7">
        <f>Y123*Z123*(1-AH135)</f>
        <v>0</v>
      </c>
      <c r="AB123" s="7">
        <f>Z123*AH135</f>
        <v>2145</v>
      </c>
      <c r="AC123" s="7">
        <f>Y123*Z123</f>
        <v>1287</v>
      </c>
      <c r="AD123" s="7">
        <f>(Z123-Y123*Z123)*AH135</f>
        <v>858</v>
      </c>
      <c r="AE123" s="7">
        <f>AA123+AB123</f>
        <v>2145</v>
      </c>
      <c r="AQ123" s="75"/>
      <c r="AR123" s="63" t="s">
        <v>70</v>
      </c>
      <c r="AS123" s="63"/>
      <c r="AT123" s="63" t="s">
        <v>74</v>
      </c>
      <c r="AU123" s="63"/>
      <c r="AV123" s="133">
        <f>AV101</f>
        <v>308.06779785156249</v>
      </c>
      <c r="AW123" s="65"/>
      <c r="AX123" s="65"/>
      <c r="AY123" s="63"/>
      <c r="AZ123" s="63"/>
      <c r="BA123" s="63"/>
      <c r="BB123" s="63"/>
      <c r="BC123" s="78"/>
    </row>
    <row r="124" spans="4:55" x14ac:dyDescent="0.25">
      <c r="E124" s="179"/>
      <c r="F124" s="179"/>
      <c r="G124" s="9"/>
      <c r="H124" s="16"/>
      <c r="I124" s="16"/>
      <c r="J124" s="16"/>
      <c r="K124" s="49">
        <f>K121+K123+K122</f>
        <v>1949</v>
      </c>
      <c r="L124" s="17"/>
      <c r="M124" s="54">
        <f>M121+M123+M122</f>
        <v>506989</v>
      </c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95"/>
      <c r="Y124" s="14"/>
      <c r="AA124" s="7">
        <f>(AA121*K121+AA122*K122+AA123*K123)*24*30/1000/1000/1000</f>
        <v>0</v>
      </c>
      <c r="AB124" s="7">
        <f>(AB121*K121+AB122*K122+AB123*K123)*24*30/1000/1000/1000</f>
        <v>3.0100356000000001</v>
      </c>
      <c r="AC124" s="7">
        <f>(AC121*K121+AC122*K122+AC123*K123)*24*30/1000/1000/1000</f>
        <v>1.8060213600000001</v>
      </c>
      <c r="AD124" s="7">
        <f>(AD121*K121+AD122*K122+AD123*K123)*24*30/1000/1000/1000</f>
        <v>1.20401424</v>
      </c>
      <c r="AE124" s="7">
        <f>(AE121*K121+AE122*K122+AE123*K123)*24*30/1000/1000/1000</f>
        <v>3.0100356000000001</v>
      </c>
      <c r="AF124" s="7" t="s">
        <v>167</v>
      </c>
      <c r="AQ124" s="75"/>
      <c r="AR124" s="63" t="s">
        <v>161</v>
      </c>
      <c r="AS124" s="63"/>
      <c r="AT124" s="63" t="s">
        <v>74</v>
      </c>
      <c r="AU124" s="63"/>
      <c r="AV124" s="133">
        <f>SUM(AV23:AV36)+SUM(AV61:AV64)</f>
        <v>0</v>
      </c>
      <c r="AW124" s="65"/>
      <c r="AX124" s="65"/>
      <c r="AY124" s="63"/>
      <c r="AZ124" s="63"/>
      <c r="BA124" s="63"/>
      <c r="BB124" s="63"/>
      <c r="BC124" s="78"/>
    </row>
    <row r="125" spans="4:55" x14ac:dyDescent="0.25">
      <c r="F125" s="12"/>
      <c r="G125" s="25"/>
      <c r="H125" s="179"/>
      <c r="I125" s="184"/>
      <c r="J125" s="184"/>
      <c r="K125" s="179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95"/>
      <c r="AQ125" s="75"/>
      <c r="AR125" s="63" t="s">
        <v>120</v>
      </c>
      <c r="AS125" s="63"/>
      <c r="AT125" s="63" t="s">
        <v>74</v>
      </c>
      <c r="AU125" s="63"/>
      <c r="AV125" s="133">
        <f>AV116+SUM(AV118:AV124)</f>
        <v>71048.395797851554</v>
      </c>
      <c r="AW125" s="65"/>
      <c r="AX125" s="65"/>
      <c r="AY125" s="63"/>
      <c r="AZ125" s="63"/>
      <c r="BA125" s="63"/>
      <c r="BB125" s="63"/>
      <c r="BC125" s="78"/>
    </row>
    <row r="126" spans="4:55" x14ac:dyDescent="0.25">
      <c r="D126" s="179" t="s">
        <v>27</v>
      </c>
      <c r="E126" s="12"/>
      <c r="F126" s="25"/>
      <c r="G126" s="179" t="s">
        <v>41</v>
      </c>
      <c r="H126" s="179" t="s">
        <v>26</v>
      </c>
      <c r="I126" s="184"/>
      <c r="J126" s="184"/>
      <c r="K126" s="179" t="s">
        <v>28</v>
      </c>
      <c r="L126" s="13" t="s">
        <v>42</v>
      </c>
      <c r="M126" s="179" t="s">
        <v>43</v>
      </c>
      <c r="N126" s="17">
        <f>K26*L21</f>
        <v>297773.4375</v>
      </c>
      <c r="O126" s="17"/>
      <c r="P126" s="17"/>
      <c r="Q126" s="17"/>
      <c r="R126" s="17"/>
      <c r="S126" s="17"/>
      <c r="T126" s="17"/>
      <c r="U126" s="17"/>
      <c r="V126" s="17"/>
      <c r="W126" s="17"/>
      <c r="X126" s="195"/>
      <c r="AQ126" s="75"/>
      <c r="AR126" s="63"/>
      <c r="AS126" s="63"/>
      <c r="AT126" s="63"/>
      <c r="AU126" s="63"/>
      <c r="AV126" s="133"/>
      <c r="AW126" s="65"/>
      <c r="AX126" s="65"/>
      <c r="AY126" s="63"/>
      <c r="AZ126" s="63"/>
      <c r="BA126" s="63"/>
      <c r="BB126" s="63"/>
      <c r="BC126" s="78"/>
    </row>
    <row r="127" spans="4:55" x14ac:dyDescent="0.25">
      <c r="E127" s="179" t="s">
        <v>29</v>
      </c>
      <c r="F127" s="179">
        <v>2100</v>
      </c>
      <c r="G127" s="169">
        <f>G14</f>
        <v>0.23</v>
      </c>
      <c r="H127" s="25">
        <f>MIN(1,K127*(1.95*G127^2)/inputs!$B$7)</f>
        <v>0</v>
      </c>
      <c r="I127" s="25"/>
      <c r="J127" s="25"/>
      <c r="K127" s="8">
        <f>SUM(K14:K25)-K128-K129</f>
        <v>0</v>
      </c>
      <c r="L127" s="17">
        <f>L14</f>
        <v>4350.5859375</v>
      </c>
      <c r="M127" s="50">
        <f>L127*K127</f>
        <v>0</v>
      </c>
      <c r="N127" s="17">
        <f>N126+M124+M139</f>
        <v>804762.4375</v>
      </c>
      <c r="O127" s="17"/>
      <c r="P127" s="17"/>
      <c r="Q127" s="17"/>
      <c r="R127" s="17"/>
      <c r="S127" s="17"/>
      <c r="T127" s="17"/>
      <c r="U127" s="17"/>
      <c r="V127" s="17"/>
      <c r="W127" s="17"/>
      <c r="X127" s="195"/>
      <c r="Y127" s="19">
        <f>inputs!$L$54</f>
        <v>0.55000000000000004</v>
      </c>
      <c r="Z127" s="7">
        <f>inputs!$K$54</f>
        <v>1450</v>
      </c>
      <c r="AA127" s="7">
        <f>Y127*Z127*(1-AH135)</f>
        <v>0</v>
      </c>
      <c r="AB127" s="7">
        <f>Z127*AH135</f>
        <v>1450</v>
      </c>
      <c r="AC127" s="7">
        <f>Y127*Z127</f>
        <v>797.50000000000011</v>
      </c>
      <c r="AD127" s="7">
        <f>(Z127-Y127*Z127)*AH135</f>
        <v>652.49999999999989</v>
      </c>
      <c r="AE127" s="7">
        <f>AA127+AB127</f>
        <v>1450</v>
      </c>
      <c r="AQ127" s="75" t="s">
        <v>222</v>
      </c>
      <c r="AR127" s="63"/>
      <c r="AS127" s="63"/>
      <c r="AT127" s="63" t="s">
        <v>76</v>
      </c>
      <c r="AU127" s="63"/>
      <c r="AV127" s="133">
        <f>SUM(AV23:AV36)+SUM(AV61:AV64)</f>
        <v>0</v>
      </c>
      <c r="AW127" s="133"/>
      <c r="AX127" s="133"/>
      <c r="AY127" s="133"/>
      <c r="AZ127" s="63"/>
      <c r="BA127" s="63"/>
      <c r="BB127" s="63"/>
      <c r="BC127" s="78"/>
    </row>
    <row r="128" spans="4:55" x14ac:dyDescent="0.25">
      <c r="E128" s="179" t="s">
        <v>30</v>
      </c>
      <c r="F128" s="179"/>
      <c r="G128" s="170">
        <f>G15</f>
        <v>0.23</v>
      </c>
      <c r="H128" s="25">
        <f>MIN(1,K128*(1.95*G128^2)/inputs!$B$7)</f>
        <v>0</v>
      </c>
      <c r="I128" s="25"/>
      <c r="J128" s="25"/>
      <c r="K128" s="8">
        <f>ROUNDUP(IF(K116&lt;=K14,K15+K116,SUM(K14:K25)-K129),0)</f>
        <v>0</v>
      </c>
      <c r="L128" s="17">
        <f>L15</f>
        <v>10151.3671875</v>
      </c>
      <c r="M128" s="50">
        <f>L128*K128</f>
        <v>0</v>
      </c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95"/>
      <c r="Y128" s="19">
        <f>inputs!$L$55</f>
        <v>0.55000000000000004</v>
      </c>
      <c r="Z128" s="7">
        <f>inputs!$K$55</f>
        <v>1500</v>
      </c>
      <c r="AA128" s="7">
        <f>Y128*Z128*(1-AH135)</f>
        <v>0</v>
      </c>
      <c r="AB128" s="7">
        <f>Z128*AH135</f>
        <v>1500</v>
      </c>
      <c r="AC128" s="7">
        <f>Y128*Z128</f>
        <v>825.00000000000011</v>
      </c>
      <c r="AD128" s="7">
        <f>(Z128-Y128*Z128)*AH135</f>
        <v>674.99999999999989</v>
      </c>
      <c r="AE128" s="7">
        <f>AA128+AB128</f>
        <v>1500</v>
      </c>
      <c r="AQ128" s="75" t="s">
        <v>223</v>
      </c>
      <c r="AR128" s="63"/>
      <c r="AS128" s="63"/>
      <c r="AT128" s="63" t="s">
        <v>74</v>
      </c>
      <c r="AU128" s="63"/>
      <c r="AV128" s="133">
        <f>SUM(AV95:AV104)</f>
        <v>69050.736761839231</v>
      </c>
      <c r="AW128" s="133"/>
      <c r="AX128" s="133"/>
      <c r="AY128" s="133"/>
      <c r="AZ128" s="63"/>
      <c r="BA128" s="63"/>
      <c r="BB128" s="63"/>
      <c r="BC128" s="78"/>
    </row>
    <row r="129" spans="4:55" x14ac:dyDescent="0.25">
      <c r="E129" s="179" t="s">
        <v>31</v>
      </c>
      <c r="F129" s="179"/>
      <c r="G129" s="171">
        <f>G21</f>
        <v>0.23</v>
      </c>
      <c r="H129" s="25">
        <f>MIN(1,K129*(1.95*G129^2)/inputs!$B$7)</f>
        <v>2.3752796052631578E-3</v>
      </c>
      <c r="I129" s="25"/>
      <c r="J129" s="25"/>
      <c r="K129" s="17">
        <f>ROUNDUP(IF(SUM(K14:K25)-K15-K116&lt;0,IF(SUM(K14:K25)*4-K14-2*K15&gt;K116,(K116-(SUM(K14:K25)-K15))/2,SUM(K14:K25)),0),0)</f>
        <v>14</v>
      </c>
      <c r="L129" s="17">
        <f>L21</f>
        <v>21269.53125</v>
      </c>
      <c r="M129" s="50">
        <f>L129*K129</f>
        <v>297773.4375</v>
      </c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95"/>
      <c r="Y129" s="19">
        <f>inputs!$L$57</f>
        <v>0.55000000000000004</v>
      </c>
      <c r="Z129" s="7">
        <f>inputs!$K$57</f>
        <v>1600</v>
      </c>
      <c r="AA129" s="7">
        <f>Y129*Z129*(1-AH135)</f>
        <v>0</v>
      </c>
      <c r="AB129" s="7">
        <f>Z129*AH135</f>
        <v>1600</v>
      </c>
      <c r="AC129" s="7">
        <f>Y129*Z129</f>
        <v>880.00000000000011</v>
      </c>
      <c r="AD129" s="7">
        <f>(Z129-Y129*Z129)*AH135</f>
        <v>719.99999999999989</v>
      </c>
      <c r="AE129" s="7">
        <f>AA129+AB129</f>
        <v>1600</v>
      </c>
      <c r="AH129" s="7" t="s">
        <v>49</v>
      </c>
      <c r="AQ129" s="75" t="s">
        <v>235</v>
      </c>
      <c r="AR129" s="63"/>
      <c r="AS129" s="63"/>
      <c r="AT129" s="63" t="s">
        <v>74</v>
      </c>
      <c r="AU129" s="63"/>
      <c r="AV129" s="133">
        <f>AV115+AV125</f>
        <v>71323.154029319325</v>
      </c>
      <c r="AW129" s="133"/>
      <c r="AX129" s="133"/>
      <c r="AY129" s="133"/>
      <c r="AZ129" s="63"/>
      <c r="BA129" s="65"/>
      <c r="BB129" s="65"/>
      <c r="BC129" s="143"/>
    </row>
    <row r="130" spans="4:55" x14ac:dyDescent="0.25">
      <c r="E130" s="179"/>
      <c r="F130" s="179"/>
      <c r="G130" s="26"/>
      <c r="H130" s="25"/>
      <c r="I130" s="25"/>
      <c r="J130" s="25"/>
      <c r="K130" s="17">
        <f>K127+K128+K129</f>
        <v>14</v>
      </c>
      <c r="L130" s="17"/>
      <c r="M130" s="54">
        <f>M127+M128+M129</f>
        <v>297773.4375</v>
      </c>
      <c r="X130" s="195"/>
      <c r="Y130" s="17"/>
      <c r="AH130" s="7" t="s">
        <v>25</v>
      </c>
      <c r="AI130" s="25">
        <f>M124/(M124+M130+M134+M139)</f>
        <v>0.10046182278349665</v>
      </c>
      <c r="AJ130" s="34"/>
      <c r="AQ130" s="75"/>
      <c r="AR130" s="63"/>
      <c r="AS130" s="63"/>
      <c r="AT130" s="63"/>
      <c r="AU130" s="63"/>
      <c r="AV130" s="63"/>
      <c r="AW130" s="65"/>
      <c r="AX130" s="63"/>
      <c r="AY130" s="63"/>
      <c r="AZ130" s="63"/>
      <c r="BA130" s="63"/>
      <c r="BB130" s="63"/>
      <c r="BC130" s="78"/>
    </row>
    <row r="131" spans="4:55" x14ac:dyDescent="0.25">
      <c r="E131" s="179"/>
      <c r="F131" s="179"/>
      <c r="G131" s="26"/>
      <c r="H131" s="25"/>
      <c r="I131" s="25"/>
      <c r="J131" s="25"/>
      <c r="K131" s="17"/>
      <c r="L131" s="17"/>
      <c r="M131" s="17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195"/>
      <c r="Y131" s="17"/>
      <c r="AH131" s="7" t="s">
        <v>27</v>
      </c>
      <c r="AI131" s="25">
        <f>(M130+M134)/(M124+M130+M134+M139)</f>
        <v>0.89953817721650331</v>
      </c>
      <c r="AJ131" s="34"/>
      <c r="AQ131" s="75"/>
      <c r="AR131" s="63"/>
      <c r="AS131" s="63"/>
      <c r="AT131" s="63" t="s">
        <v>197</v>
      </c>
      <c r="AU131" s="133">
        <f>SUM(AU23:AU36)+SUM(AU61:AU64)</f>
        <v>17113804.117838539</v>
      </c>
      <c r="AV131" s="63"/>
      <c r="AW131" s="65"/>
      <c r="AX131" s="63"/>
      <c r="AY131" s="63"/>
      <c r="AZ131" s="63"/>
      <c r="BA131" s="63"/>
      <c r="BB131" s="63"/>
      <c r="BC131" s="78"/>
    </row>
    <row r="132" spans="4:55" x14ac:dyDescent="0.25">
      <c r="E132" s="179" t="s">
        <v>29</v>
      </c>
      <c r="F132" s="179">
        <v>900</v>
      </c>
      <c r="G132" s="169">
        <f>G27</f>
        <v>0.4</v>
      </c>
      <c r="H132" s="27">
        <f>H27</f>
        <v>0.5</v>
      </c>
      <c r="I132" s="27"/>
      <c r="J132" s="27"/>
      <c r="K132" s="163">
        <f>ROUNDUP(inputs!$B$7*H132/(1.95*G132^2),0)</f>
        <v>975</v>
      </c>
      <c r="L132" s="17">
        <f>L27</f>
        <v>4350.5859375</v>
      </c>
      <c r="M132" s="50">
        <f>L132*K132</f>
        <v>4241821.2890625</v>
      </c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95"/>
      <c r="Y132" s="19">
        <f>inputs!$L$54</f>
        <v>0.55000000000000004</v>
      </c>
      <c r="Z132" s="7">
        <f>inputs!$K$54</f>
        <v>1450</v>
      </c>
      <c r="AA132" s="7">
        <f>Y132*Z132*(1-AH135)</f>
        <v>0</v>
      </c>
      <c r="AB132" s="7">
        <f>Z132*AH135</f>
        <v>1450</v>
      </c>
      <c r="AC132" s="7">
        <f>Y132*Z132</f>
        <v>797.50000000000011</v>
      </c>
      <c r="AD132" s="7">
        <f>(Z132-Y132*Z132)*AH135</f>
        <v>652.49999999999989</v>
      </c>
      <c r="AE132" s="7">
        <f>AA132+AB132</f>
        <v>1450</v>
      </c>
      <c r="AH132" s="7" t="s">
        <v>32</v>
      </c>
      <c r="AI132" s="25">
        <f>M139/(M124+M130+M134+M139)</f>
        <v>0</v>
      </c>
      <c r="AJ132" s="34"/>
      <c r="AQ132" s="75"/>
      <c r="AR132" s="63"/>
      <c r="AS132" s="63"/>
      <c r="AT132" s="63" t="s">
        <v>198</v>
      </c>
      <c r="AU132" s="138">
        <f>SUM(AU23:AU36)</f>
        <v>12738804.117838541</v>
      </c>
      <c r="AV132" s="63"/>
      <c r="AW132" s="63"/>
      <c r="AX132" s="63"/>
      <c r="AY132" s="63"/>
      <c r="AZ132" s="63"/>
      <c r="BA132" s="63"/>
      <c r="BB132" s="63"/>
      <c r="BC132" s="78"/>
    </row>
    <row r="133" spans="4:55" x14ac:dyDescent="0.25">
      <c r="E133" s="179" t="s">
        <v>30</v>
      </c>
      <c r="F133" s="179"/>
      <c r="G133" s="171">
        <f>G28</f>
        <v>0.4</v>
      </c>
      <c r="H133" s="24">
        <f>H28</f>
        <v>0</v>
      </c>
      <c r="I133" s="24"/>
      <c r="J133" s="24"/>
      <c r="K133" s="165">
        <f>ROUNDUP(inputs!$B$7*H133/(1.95*G133^2),0)</f>
        <v>0</v>
      </c>
      <c r="L133" s="17">
        <f>L28</f>
        <v>5317.3828125</v>
      </c>
      <c r="M133" s="50">
        <f>L133*K133</f>
        <v>0</v>
      </c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95"/>
      <c r="Y133" s="19">
        <f>inputs!$L$55</f>
        <v>0.55000000000000004</v>
      </c>
      <c r="Z133" s="7">
        <f>inputs!$K$55</f>
        <v>1500</v>
      </c>
      <c r="AA133" s="7">
        <f>Y133*Z133*(1-AH135)</f>
        <v>0</v>
      </c>
      <c r="AB133" s="7">
        <f>Z133*AH135</f>
        <v>1500</v>
      </c>
      <c r="AC133" s="7">
        <f>Y133*Z133</f>
        <v>825.00000000000011</v>
      </c>
      <c r="AD133" s="7">
        <f>(Z133-Y133*Z133)*AH135</f>
        <v>674.99999999999989</v>
      </c>
      <c r="AE133" s="7">
        <f>AA133+AB133</f>
        <v>1500</v>
      </c>
      <c r="AQ133" s="79"/>
      <c r="AR133" s="80"/>
      <c r="AS133" s="80"/>
      <c r="AT133" s="80" t="s">
        <v>199</v>
      </c>
      <c r="AU133" s="146">
        <f>SUM(AU61:AU64)</f>
        <v>4375000</v>
      </c>
      <c r="AV133" s="80"/>
      <c r="AW133" s="80"/>
      <c r="AX133" s="80"/>
      <c r="AY133" s="80"/>
      <c r="AZ133" s="80"/>
      <c r="BA133" s="80"/>
      <c r="BB133" s="80"/>
      <c r="BC133" s="81"/>
    </row>
    <row r="134" spans="4:55" x14ac:dyDescent="0.25">
      <c r="E134" s="179"/>
      <c r="F134" s="179"/>
      <c r="G134" s="26"/>
      <c r="H134" s="25"/>
      <c r="I134" s="25"/>
      <c r="J134" s="25"/>
      <c r="K134" s="9">
        <f>K132+K133</f>
        <v>975</v>
      </c>
      <c r="L134" s="17"/>
      <c r="M134" s="17">
        <f>M132+M133</f>
        <v>4241821.2890625</v>
      </c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95"/>
      <c r="Y134" s="17"/>
      <c r="AH134" s="7" t="s">
        <v>122</v>
      </c>
    </row>
    <row r="135" spans="4:55" x14ac:dyDescent="0.25">
      <c r="F135" s="12"/>
      <c r="G135" s="179"/>
      <c r="H135" s="179"/>
      <c r="I135" s="184"/>
      <c r="J135" s="184"/>
      <c r="K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95"/>
      <c r="Y135" s="14"/>
      <c r="AA135" s="7">
        <f>(AA127*$K127+AA128*$K128+AA129*$K129+AA132*$K132+AA133*$K133)*24*30/1000/1000/1000</f>
        <v>0</v>
      </c>
      <c r="AB135" s="7">
        <f>(AB127*$K127+AB128*$K128+AB129*$K129+AB132*$K132+AB133*$K133)*24*30/1000/1000/1000</f>
        <v>1.0340279999999999</v>
      </c>
      <c r="AC135" s="7">
        <f>(AC127*$K127+AC128*$K128+AC129*$K129+AC132*$K132+AC133*$K133)*24*30/1000/1000/1000</f>
        <v>0.5687154000000002</v>
      </c>
      <c r="AD135" s="7">
        <f>(AD127*$K127+AD128*$K128+AD129*$K129+AD132*$K132+AD133*$K133)*24*30/1000/1000/1000</f>
        <v>0.46531259999999985</v>
      </c>
      <c r="AE135" s="7">
        <f>(AE127*$K127+AE128*$K128+AE129*$K129+AE132*$K132+AE133*$K133)*24*30/1000/1000/1000</f>
        <v>1.0340279999999999</v>
      </c>
      <c r="AF135" s="7" t="s">
        <v>167</v>
      </c>
      <c r="AH135" s="14">
        <f>IF(G118/((M124+M130+M134+M139)*60*60*24*30/8/1024/1024/1024)&gt;1,1,G118/((M124+M130+M134+M139)*60*60*24*30/8/1024/1024/1024))</f>
        <v>1</v>
      </c>
      <c r="AX135" s="20"/>
    </row>
    <row r="136" spans="4:55" x14ac:dyDescent="0.25">
      <c r="D136" s="179" t="s">
        <v>32</v>
      </c>
      <c r="E136" s="179"/>
      <c r="F136" s="25"/>
      <c r="G136" s="179" t="s">
        <v>41</v>
      </c>
      <c r="H136" s="179" t="s">
        <v>26</v>
      </c>
      <c r="I136" s="184"/>
      <c r="J136" s="184"/>
      <c r="K136" s="179" t="s">
        <v>33</v>
      </c>
      <c r="L136" s="13" t="s">
        <v>42</v>
      </c>
      <c r="M136" s="179" t="s">
        <v>43</v>
      </c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95"/>
      <c r="Z136" s="19"/>
      <c r="AQ136" s="76" t="s">
        <v>311</v>
      </c>
      <c r="AR136" s="77"/>
      <c r="AS136" s="77"/>
      <c r="AT136" s="77"/>
      <c r="AU136" s="77"/>
      <c r="AV136" s="77"/>
      <c r="AW136" s="77"/>
      <c r="AX136" s="125"/>
      <c r="AY136" s="63"/>
      <c r="AZ136" s="63"/>
    </row>
    <row r="137" spans="4:55" x14ac:dyDescent="0.25">
      <c r="E137" s="179" t="s">
        <v>34</v>
      </c>
      <c r="F137" s="179">
        <v>2600</v>
      </c>
      <c r="G137" s="167">
        <f>G33</f>
        <v>0.2</v>
      </c>
      <c r="H137" s="177">
        <f>MIN(1,K138*(1.95*G137^2)/inputs!$B$7)</f>
        <v>0</v>
      </c>
      <c r="I137" s="25"/>
      <c r="J137" s="25"/>
      <c r="K137" s="176">
        <f>ROUNDUP(inputs!$B$7*H137/(1.95*G137^2),0)</f>
        <v>0</v>
      </c>
      <c r="L137" s="17">
        <f>L33</f>
        <v>30468.75</v>
      </c>
      <c r="M137" s="50">
        <f>L137*K137</f>
        <v>0</v>
      </c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95"/>
      <c r="Y137" s="19"/>
      <c r="AH137" s="11"/>
      <c r="AQ137" s="75"/>
      <c r="AR137" s="63"/>
      <c r="AS137" s="63"/>
      <c r="AT137" s="63"/>
      <c r="AU137" s="63"/>
      <c r="AV137" s="63"/>
      <c r="AW137" s="63"/>
      <c r="AX137" s="78"/>
      <c r="AY137" s="63"/>
      <c r="AZ137" s="63"/>
      <c r="BA137" s="63"/>
      <c r="BB137" s="63"/>
      <c r="BC137" s="63"/>
    </row>
    <row r="138" spans="4:55" x14ac:dyDescent="0.25">
      <c r="E138" s="179" t="s">
        <v>35</v>
      </c>
      <c r="F138" s="179">
        <v>1800</v>
      </c>
      <c r="G138" s="171">
        <f>G35</f>
        <v>0.25</v>
      </c>
      <c r="H138" s="175">
        <f>H35</f>
        <v>0</v>
      </c>
      <c r="I138" s="24"/>
      <c r="J138" s="24"/>
      <c r="K138" s="165">
        <f>ROUNDUP(inputs!$B$7*H138/(1.95*G138^2),0)</f>
        <v>0</v>
      </c>
      <c r="L138" s="17">
        <f>L35</f>
        <v>30468.75</v>
      </c>
      <c r="M138" s="50">
        <f>L138*K138</f>
        <v>0</v>
      </c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95"/>
      <c r="Y138" s="19">
        <f>inputs!$L$59</f>
        <v>0.5</v>
      </c>
      <c r="Z138" s="7">
        <f>inputs!$K$59</f>
        <v>1500</v>
      </c>
      <c r="AA138" s="7">
        <f>Y138*Z138*(1-AH135)</f>
        <v>0</v>
      </c>
      <c r="AB138" s="7">
        <f>Z138*AH135</f>
        <v>1500</v>
      </c>
      <c r="AC138" s="7">
        <f>Y138*Z138</f>
        <v>750</v>
      </c>
      <c r="AD138" s="7">
        <f>(Z138-Y138*Z138)*AH135</f>
        <v>750</v>
      </c>
      <c r="AE138" s="7">
        <f>AA138+AB138</f>
        <v>1500</v>
      </c>
      <c r="AQ138" s="75"/>
      <c r="AR138" s="63"/>
      <c r="AS138" s="63"/>
      <c r="AT138" s="63"/>
      <c r="AU138" s="63"/>
      <c r="AV138" s="63"/>
      <c r="AW138" s="63"/>
      <c r="AX138" s="78"/>
      <c r="AY138" s="63"/>
      <c r="AZ138" s="63"/>
      <c r="BA138" s="63"/>
      <c r="BB138" s="63"/>
      <c r="BC138" s="63"/>
    </row>
    <row r="139" spans="4:55" x14ac:dyDescent="0.25">
      <c r="E139" s="179"/>
      <c r="F139" s="179"/>
      <c r="G139" s="26"/>
      <c r="H139" s="25"/>
      <c r="I139" s="25"/>
      <c r="J139" s="25"/>
      <c r="K139" s="49">
        <f>K138</f>
        <v>0</v>
      </c>
      <c r="L139" s="17"/>
      <c r="M139" s="50">
        <f>M137+M138</f>
        <v>0</v>
      </c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95"/>
      <c r="AA139" s="7">
        <f>(AA137*K137+AA138*K138)*24*30/1000/1000/1000</f>
        <v>0</v>
      </c>
      <c r="AB139" s="7">
        <f>(AB137*K137+AB138*K138)*24*30/1000/1000/1000</f>
        <v>0</v>
      </c>
      <c r="AC139" s="7">
        <f>(AC137*K137+AC138*K138)*24*30/1000/1000/1000</f>
        <v>0</v>
      </c>
      <c r="AD139" s="7">
        <f>(AD137*K137+AD138*K138)*24*30/1000/1000/1000</f>
        <v>0</v>
      </c>
      <c r="AE139" s="7">
        <f>(AE137*K137+AE138*K138)*24*30/1000/1000/1000</f>
        <v>0</v>
      </c>
      <c r="AF139" s="7" t="s">
        <v>167</v>
      </c>
      <c r="AQ139" s="75" t="s">
        <v>57</v>
      </c>
      <c r="AR139" s="63"/>
      <c r="AS139" s="63"/>
      <c r="AT139" s="63"/>
      <c r="AU139" s="63"/>
      <c r="AV139" s="63"/>
      <c r="AW139" s="63" t="s">
        <v>156</v>
      </c>
      <c r="AX139" s="78" t="s">
        <v>58</v>
      </c>
      <c r="BA139" s="63"/>
      <c r="BB139" s="63"/>
      <c r="BC139" s="63"/>
    </row>
    <row r="140" spans="4:55" x14ac:dyDescent="0.25">
      <c r="AQ140" s="75"/>
      <c r="AR140" s="63"/>
      <c r="AS140" s="63" t="s">
        <v>314</v>
      </c>
      <c r="AT140" s="63"/>
      <c r="AU140" s="210">
        <f>K57+K59+K63+K77+K84+K90+K96</f>
        <v>8</v>
      </c>
      <c r="AV140" s="63"/>
      <c r="AW140" s="39">
        <v>15000</v>
      </c>
      <c r="AX140" s="213">
        <f>'Core Urban'!$AW$140*'Core Urban'!AU140</f>
        <v>120000</v>
      </c>
      <c r="BA140" s="63"/>
      <c r="BB140" s="63"/>
      <c r="BC140" s="63"/>
    </row>
    <row r="141" spans="4:55" x14ac:dyDescent="0.25">
      <c r="K141" s="11">
        <f>K124+K130+K139</f>
        <v>1963</v>
      </c>
      <c r="M141" s="57">
        <f>M139+M134+M130+M124</f>
        <v>5046583.7265625</v>
      </c>
      <c r="X141" s="195"/>
      <c r="AC141" s="7">
        <f>AC139+AC135+AC124</f>
        <v>2.3747367600000002</v>
      </c>
      <c r="AD141" s="7">
        <f>AD139+AD135+AD124</f>
        <v>1.6693268399999999</v>
      </c>
      <c r="AE141" s="7">
        <f>AE139+AE135+AE124</f>
        <v>4.0440636000000003</v>
      </c>
      <c r="AQ141" s="75"/>
      <c r="AR141" s="63" t="s">
        <v>59</v>
      </c>
      <c r="AS141" s="63"/>
      <c r="AT141" s="63"/>
      <c r="AU141" s="63"/>
      <c r="AV141" s="63"/>
      <c r="AW141" s="39"/>
      <c r="AX141" s="213"/>
      <c r="BA141" s="63"/>
      <c r="BB141" s="63"/>
      <c r="BC141" s="63"/>
    </row>
    <row r="142" spans="4:55" x14ac:dyDescent="0.25">
      <c r="M142" s="7">
        <f>((M124+M130+M134+M139)*60*60*24*30/8/1024/1024/1024)</f>
        <v>1522.7991411520634</v>
      </c>
      <c r="X142" s="195"/>
      <c r="AQ142" s="75"/>
      <c r="AR142" s="63"/>
      <c r="AS142" s="63" t="s">
        <v>320</v>
      </c>
      <c r="AT142" s="63"/>
      <c r="AU142" s="39">
        <f>IF('Core Urban'!AU140&gt;0,1,0)</f>
        <v>1</v>
      </c>
      <c r="AV142" s="63"/>
      <c r="AW142" s="39">
        <v>10000</v>
      </c>
      <c r="AX142" s="213">
        <v>1000000</v>
      </c>
      <c r="BA142" s="63"/>
      <c r="BB142" s="63"/>
      <c r="BC142" s="63"/>
    </row>
    <row r="143" spans="4:55" x14ac:dyDescent="0.25">
      <c r="X143" s="195"/>
      <c r="AQ143" s="75"/>
      <c r="AR143" s="63"/>
      <c r="AS143" s="63" t="s">
        <v>316</v>
      </c>
      <c r="AT143" s="63"/>
      <c r="AU143" s="39">
        <f>IF('Core Urban'!AU140&gt;0,1,0)</f>
        <v>1</v>
      </c>
      <c r="AV143" s="63"/>
      <c r="AW143" s="39">
        <v>1500000</v>
      </c>
      <c r="AX143" s="213">
        <f>'Core Urban'!$AW$143*'Core Urban'!AU143</f>
        <v>1500000</v>
      </c>
      <c r="BA143" s="63"/>
      <c r="BB143" s="63"/>
      <c r="BC143" s="63"/>
    </row>
    <row r="144" spans="4:55" x14ac:dyDescent="0.25">
      <c r="X144" s="195"/>
      <c r="AQ144" s="75"/>
      <c r="AR144" s="63"/>
      <c r="AS144" s="63" t="s">
        <v>315</v>
      </c>
      <c r="AT144" s="63"/>
      <c r="AU144" s="39">
        <v>0</v>
      </c>
      <c r="AV144" s="63"/>
      <c r="AW144" s="39">
        <v>0</v>
      </c>
      <c r="AX144" s="213">
        <f>'Core Urban'!$AW$144*'Core Urban'!AU144</f>
        <v>0</v>
      </c>
      <c r="BA144" s="63"/>
      <c r="BB144" s="63"/>
      <c r="BC144" s="63"/>
    </row>
    <row r="145" spans="4:55" x14ac:dyDescent="0.25">
      <c r="D145" s="6" t="s">
        <v>53</v>
      </c>
      <c r="E145" s="6" t="s">
        <v>55</v>
      </c>
      <c r="X145" s="195"/>
      <c r="AQ145" s="75"/>
      <c r="AR145" s="63"/>
      <c r="AS145" s="63"/>
      <c r="AT145" s="63"/>
      <c r="AU145" s="39"/>
      <c r="AV145" s="63"/>
      <c r="AW145" s="39"/>
      <c r="AX145" s="213"/>
      <c r="BA145" s="63"/>
      <c r="BB145" s="63"/>
      <c r="BC145" s="63"/>
    </row>
    <row r="146" spans="4:55" x14ac:dyDescent="0.25">
      <c r="K146" s="20"/>
      <c r="L146" s="7" t="s">
        <v>220</v>
      </c>
      <c r="M146" s="7" t="s">
        <v>221</v>
      </c>
      <c r="X146" s="195"/>
      <c r="AQ146" s="75" t="s">
        <v>60</v>
      </c>
      <c r="AR146" s="63"/>
      <c r="AS146" s="63"/>
      <c r="AT146" s="63"/>
      <c r="AU146" s="63"/>
      <c r="AV146" s="63"/>
      <c r="AW146" s="63" t="s">
        <v>156</v>
      </c>
      <c r="AX146" s="78" t="s">
        <v>60</v>
      </c>
      <c r="BA146" s="63"/>
      <c r="BB146" s="63"/>
      <c r="BC146" s="63"/>
    </row>
    <row r="147" spans="4:55" x14ac:dyDescent="0.25">
      <c r="D147" s="7" t="s">
        <v>126</v>
      </c>
      <c r="F147" s="60">
        <f>(L35-L9+L33)*60*60/8/1024/1024/1024</f>
        <v>2.5363569147884842E-2</v>
      </c>
      <c r="G147" s="7" t="s">
        <v>36</v>
      </c>
      <c r="H147" s="7" t="s">
        <v>124</v>
      </c>
      <c r="K147" s="179"/>
      <c r="L147" s="20">
        <f>$K$35+$K$9</f>
        <v>0</v>
      </c>
      <c r="M147" s="20">
        <f>$K$35</f>
        <v>0</v>
      </c>
      <c r="X147" s="195"/>
      <c r="AQ147" s="75"/>
      <c r="AR147" s="63"/>
      <c r="AS147" s="63" t="s">
        <v>61</v>
      </c>
      <c r="AT147" s="39" t="s">
        <v>151</v>
      </c>
      <c r="AU147" s="210">
        <f>'Core Urban'!AU140</f>
        <v>8</v>
      </c>
      <c r="AV147" s="63"/>
      <c r="AW147" s="39">
        <v>1</v>
      </c>
      <c r="AX147" s="213">
        <f>'Core Urban'!$AW$147*'Core Urban'!AU147</f>
        <v>8</v>
      </c>
      <c r="BA147" s="63"/>
      <c r="BB147" s="63"/>
      <c r="BC147" s="63"/>
    </row>
    <row r="148" spans="4:55" x14ac:dyDescent="0.25">
      <c r="D148" s="7" t="s">
        <v>79</v>
      </c>
      <c r="E148" s="7">
        <f>inputs!K43</f>
        <v>0</v>
      </c>
      <c r="G148" s="7" t="s">
        <v>47</v>
      </c>
      <c r="H148" s="7" t="s">
        <v>48</v>
      </c>
      <c r="K148" s="11" t="s">
        <v>50</v>
      </c>
      <c r="L148" s="7" t="s">
        <v>51</v>
      </c>
      <c r="M148" s="7" t="s">
        <v>54</v>
      </c>
      <c r="X148" s="195"/>
      <c r="AQ148" s="75"/>
      <c r="AR148" s="63"/>
      <c r="AS148" s="63" t="s">
        <v>62</v>
      </c>
      <c r="AT148" s="39" t="s">
        <v>63</v>
      </c>
      <c r="AU148" s="39">
        <f>'Core Urban'!AU142+'Core Urban'!AU143+'Core Urban'!AU144</f>
        <v>2</v>
      </c>
      <c r="AV148" s="63"/>
      <c r="AW148" s="39">
        <v>1000</v>
      </c>
      <c r="AX148" s="213">
        <f>'Core Urban'!$AW$148*'Core Urban'!AU148</f>
        <v>2000</v>
      </c>
      <c r="BA148" s="63"/>
      <c r="BB148" s="63"/>
      <c r="BC148" s="63"/>
    </row>
    <row r="149" spans="4:55" x14ac:dyDescent="0.25">
      <c r="F149" s="7" t="s">
        <v>25</v>
      </c>
      <c r="G149" s="9">
        <f>G152*$AI$14</f>
        <v>16.368011990681694</v>
      </c>
      <c r="H149" s="9">
        <f>IF(((G149-AK22)/30)*inputs!F3/inputs!F8&lt;0,0,((G149-AK22)/30)*inputs!F3/inputs!F8)</f>
        <v>0.2608063948981531</v>
      </c>
      <c r="I149" s="9"/>
      <c r="J149" s="9"/>
      <c r="K149" s="11" t="s">
        <v>22</v>
      </c>
      <c r="L149" s="7" t="s">
        <v>22</v>
      </c>
      <c r="M149" s="17" t="s">
        <v>22</v>
      </c>
      <c r="X149" s="195"/>
      <c r="AG149" s="195"/>
      <c r="AQ149" s="75"/>
      <c r="AR149" s="63"/>
      <c r="AS149" s="63"/>
      <c r="AT149" s="63"/>
      <c r="AU149" s="63"/>
      <c r="AV149" s="63"/>
      <c r="AW149" s="63"/>
      <c r="AX149" s="78"/>
      <c r="BA149" s="63"/>
      <c r="BB149" s="63"/>
      <c r="BC149" s="63"/>
    </row>
    <row r="150" spans="4:55" x14ac:dyDescent="0.25">
      <c r="F150" s="7" t="s">
        <v>27</v>
      </c>
      <c r="G150" s="9">
        <f>G152*$AI$15</f>
        <v>427.15483125756163</v>
      </c>
      <c r="H150" s="9">
        <f>IF(((G150-AK23)/30)*inputs!F3/inputs!F8&lt;0,0,((G150-AK23)/30)*inputs!F3/inputs!F8)</f>
        <v>6.8062457228792512</v>
      </c>
      <c r="I150" s="9"/>
      <c r="J150" s="9"/>
      <c r="K150" s="11" t="s">
        <v>22</v>
      </c>
      <c r="L150" s="7" t="s">
        <v>22</v>
      </c>
      <c r="M150" s="21" t="s">
        <v>22</v>
      </c>
      <c r="X150" s="195"/>
      <c r="AG150" s="195"/>
      <c r="AQ150" s="75"/>
      <c r="AR150" s="63"/>
      <c r="AS150" s="63"/>
      <c r="AT150" s="63"/>
      <c r="AU150" s="63"/>
      <c r="AV150" s="63"/>
      <c r="AW150" s="63"/>
      <c r="AX150" s="78"/>
      <c r="BA150" s="63"/>
      <c r="BB150" s="63"/>
      <c r="BC150" s="63"/>
    </row>
    <row r="151" spans="4:55" x14ac:dyDescent="0.25">
      <c r="F151" s="7" t="s">
        <v>32</v>
      </c>
      <c r="G151" s="9">
        <f>G152*$AI$16</f>
        <v>2973.3696109308344</v>
      </c>
      <c r="H151" s="9">
        <f>IF(((G151-AK24)/30)*inputs!F3/inputs!F8&lt;0,0,((G151-AK24)/30)*inputs!F3/inputs!F8)+H149+H150</f>
        <v>54.444449529758295</v>
      </c>
      <c r="I151" s="9"/>
      <c r="J151" s="9"/>
      <c r="K151" s="17">
        <f>ROUNDUP(IF(H151/F147&lt;K9,H151/F147,K9),0)</f>
        <v>0</v>
      </c>
      <c r="L151" s="11">
        <f>K9-K151</f>
        <v>0</v>
      </c>
      <c r="M151" s="21">
        <f>IF((K151+L151)*F147-H151&lt;0,H151-(K151+L151)*F147,0)</f>
        <v>54.444449529758295</v>
      </c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195"/>
      <c r="AG151" s="195"/>
      <c r="AQ151" s="75" t="s">
        <v>65</v>
      </c>
      <c r="AR151" s="63"/>
      <c r="AS151" s="63"/>
      <c r="AT151" s="63"/>
      <c r="AU151" s="63"/>
      <c r="AV151" s="63"/>
      <c r="AW151" s="63" t="s">
        <v>156</v>
      </c>
      <c r="AX151" s="78" t="s">
        <v>155</v>
      </c>
      <c r="BA151" s="63"/>
      <c r="BB151" s="63"/>
      <c r="BC151" s="63"/>
    </row>
    <row r="152" spans="4:55" x14ac:dyDescent="0.25">
      <c r="F152" s="7" t="s">
        <v>37</v>
      </c>
      <c r="G152" s="9">
        <f>IF(E148=1,(inputs!$L$4/(1+inputs!$F$13))/6-#REF!,(inputs!$L$4/(1+inputs!$F$13))/6)</f>
        <v>26665.978592057538</v>
      </c>
      <c r="K152" s="179"/>
      <c r="X152" s="195"/>
      <c r="AG152" s="195"/>
      <c r="AQ152" s="75"/>
      <c r="AR152" s="63"/>
      <c r="AS152" s="63" t="s">
        <v>66</v>
      </c>
      <c r="AT152" s="39" t="s">
        <v>67</v>
      </c>
      <c r="AU152" s="211">
        <f>'Core Urban'!AU140*inputs!$K$46*24*30/1000/1000/1000</f>
        <v>5.7599999999999997E-7</v>
      </c>
      <c r="AV152" s="39" t="s">
        <v>73</v>
      </c>
      <c r="AW152" s="39">
        <v>40</v>
      </c>
      <c r="AX152" s="214">
        <f>'Core Urban'!AU152*1000*'Core Urban'!AW152</f>
        <v>2.3040000000000001E-2</v>
      </c>
      <c r="BA152" s="63"/>
      <c r="BB152" s="63"/>
      <c r="BC152" s="63"/>
    </row>
    <row r="153" spans="4:55" x14ac:dyDescent="0.25">
      <c r="G153" s="7">
        <f>G152/30*inputs!F3/inputs!F8</f>
        <v>444.43297653429227</v>
      </c>
      <c r="H153" s="7">
        <f>G152/30*inputs!F3/inputs!F8-AI5</f>
        <v>428.80119199631054</v>
      </c>
      <c r="X153" s="195"/>
      <c r="AG153" s="195"/>
      <c r="AQ153" s="75"/>
      <c r="AR153" s="63"/>
      <c r="AS153" s="63" t="s">
        <v>68</v>
      </c>
      <c r="AT153" s="39" t="s">
        <v>69</v>
      </c>
      <c r="AU153" s="210">
        <f>'Core Urban'!AV74*0.1</f>
        <v>0.2</v>
      </c>
      <c r="AV153" s="39" t="s">
        <v>74</v>
      </c>
      <c r="AW153" s="39">
        <v>4000</v>
      </c>
      <c r="AX153" s="214">
        <f>'Core Urban'!AU153*'Core Urban'!AW153</f>
        <v>800</v>
      </c>
      <c r="BA153" s="63"/>
      <c r="BB153" s="63"/>
      <c r="BC153" s="63"/>
    </row>
    <row r="154" spans="4:55" x14ac:dyDescent="0.25">
      <c r="D154" s="179" t="s">
        <v>25</v>
      </c>
      <c r="E154" s="179"/>
      <c r="F154" s="179"/>
      <c r="G154" s="179" t="s">
        <v>41</v>
      </c>
      <c r="H154" s="179" t="s">
        <v>26</v>
      </c>
      <c r="I154" s="184"/>
      <c r="J154" s="184"/>
      <c r="K154" s="179" t="s">
        <v>44</v>
      </c>
      <c r="L154" s="13" t="s">
        <v>42</v>
      </c>
      <c r="M154" s="179" t="s">
        <v>43</v>
      </c>
      <c r="N154" s="179"/>
      <c r="O154" s="184"/>
      <c r="P154" s="184"/>
      <c r="Q154" s="184"/>
      <c r="R154" s="184"/>
      <c r="S154" s="184"/>
      <c r="T154" s="184"/>
      <c r="U154" s="184"/>
      <c r="V154" s="184"/>
      <c r="W154" s="184"/>
      <c r="X154" s="195"/>
      <c r="Y154" s="14" t="s">
        <v>131</v>
      </c>
      <c r="Z154" s="179" t="s">
        <v>133</v>
      </c>
      <c r="AA154" s="179" t="s">
        <v>134</v>
      </c>
      <c r="AB154" s="179" t="s">
        <v>135</v>
      </c>
      <c r="AC154" s="179" t="s">
        <v>136</v>
      </c>
      <c r="AD154" s="179" t="s">
        <v>132</v>
      </c>
      <c r="AE154" s="179" t="s">
        <v>6</v>
      </c>
      <c r="AG154" s="195"/>
      <c r="AQ154" s="75"/>
      <c r="AR154" s="63"/>
      <c r="AS154" s="63" t="s">
        <v>70</v>
      </c>
      <c r="AT154" s="39" t="s">
        <v>71</v>
      </c>
      <c r="AU154" s="210">
        <f>'Core Urban'!AU140+'Core Urban'!AU142+'Core Urban'!AU143+'Core Urban'!AU144</f>
        <v>10</v>
      </c>
      <c r="AV154" s="39" t="s">
        <v>75</v>
      </c>
      <c r="AW154" s="39">
        <v>1</v>
      </c>
      <c r="AX154" s="214">
        <f>'Core Urban'!AU154*'Core Urban'!AW154</f>
        <v>10</v>
      </c>
      <c r="BA154" s="63"/>
      <c r="BB154" s="63"/>
      <c r="BC154" s="63"/>
    </row>
    <row r="155" spans="4:55" x14ac:dyDescent="0.25">
      <c r="E155" s="179"/>
      <c r="F155" s="179">
        <v>900</v>
      </c>
      <c r="G155" s="167">
        <f>G5</f>
        <v>0.4</v>
      </c>
      <c r="H155" s="18">
        <f>$H$11-H156-H167</f>
        <v>0.49967105263157885</v>
      </c>
      <c r="I155" s="16"/>
      <c r="J155" s="16"/>
      <c r="K155" s="50">
        <f>ROUNDUP(inputs!$B$7*H155/(1.95*G155^2),0)</f>
        <v>974</v>
      </c>
      <c r="L155" s="17">
        <f>L5</f>
        <v>336</v>
      </c>
      <c r="M155" s="50">
        <f>L155*K155</f>
        <v>327264</v>
      </c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95"/>
      <c r="Y155" s="19">
        <f>inputs!$L$53</f>
        <v>0.6</v>
      </c>
      <c r="Z155" s="7">
        <f>inputs!$K$53</f>
        <v>2145</v>
      </c>
      <c r="AA155" s="7">
        <f>Y155*Z155*(1-AH169)</f>
        <v>0</v>
      </c>
      <c r="AB155" s="7">
        <f>Z155*AH169</f>
        <v>2145</v>
      </c>
      <c r="AC155" s="7">
        <f>Y155*Z155</f>
        <v>1287</v>
      </c>
      <c r="AD155" s="7">
        <f>(Z155-Y155*Z155)*AH169</f>
        <v>858</v>
      </c>
      <c r="AE155" s="7">
        <f>AA155+AB155</f>
        <v>2145</v>
      </c>
      <c r="AG155" s="195"/>
      <c r="AQ155" s="75"/>
      <c r="AR155" s="63"/>
      <c r="AS155" s="63"/>
      <c r="AT155" s="39"/>
      <c r="AU155" s="39"/>
      <c r="AV155" s="39"/>
      <c r="AW155" s="39"/>
      <c r="AX155" s="213"/>
      <c r="AY155" s="39"/>
      <c r="AZ155" s="39"/>
      <c r="BA155" s="63"/>
      <c r="BB155" s="63"/>
      <c r="BC155" s="63"/>
    </row>
    <row r="156" spans="4:55" x14ac:dyDescent="0.25">
      <c r="E156" s="179" t="s">
        <v>52</v>
      </c>
      <c r="F156" s="179">
        <v>900</v>
      </c>
      <c r="G156" s="168">
        <f>G6</f>
        <v>0.4</v>
      </c>
      <c r="H156" s="29">
        <f>K156*(1.95*G156^2)/inputs!$B$7</f>
        <v>0.50032894736842115</v>
      </c>
      <c r="I156" s="25"/>
      <c r="J156" s="25"/>
      <c r="K156" s="50">
        <f>K166</f>
        <v>975</v>
      </c>
      <c r="L156" s="17">
        <f>L6</f>
        <v>184.33333333333334</v>
      </c>
      <c r="M156" s="50">
        <f>L156*K156</f>
        <v>179725</v>
      </c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95"/>
      <c r="Y156" s="19">
        <f>inputs!$L$53</f>
        <v>0.6</v>
      </c>
      <c r="Z156" s="7">
        <f>inputs!$K$53</f>
        <v>2145</v>
      </c>
      <c r="AA156" s="7">
        <f>Y156*Z156*(1-AH169)</f>
        <v>0</v>
      </c>
      <c r="AB156" s="7">
        <f>Z156*AH169</f>
        <v>2145</v>
      </c>
      <c r="AC156" s="7">
        <f>Y156*Z156</f>
        <v>1287</v>
      </c>
      <c r="AD156" s="7">
        <f>(Z156-Y156*Z156)*AH169</f>
        <v>858</v>
      </c>
      <c r="AE156" s="7">
        <f>AA156+AB156</f>
        <v>2145</v>
      </c>
      <c r="AG156" s="195"/>
      <c r="AQ156" s="75"/>
      <c r="AR156" s="63"/>
      <c r="AS156" s="63"/>
      <c r="AT156" s="63"/>
      <c r="AU156" s="63"/>
      <c r="AV156" s="63"/>
      <c r="AW156" s="63"/>
      <c r="AX156" s="78"/>
      <c r="AY156" s="63"/>
      <c r="AZ156" s="63"/>
      <c r="BA156" s="63"/>
      <c r="BB156" s="63"/>
      <c r="BC156" s="63"/>
    </row>
    <row r="157" spans="4:55" x14ac:dyDescent="0.25">
      <c r="E157" s="179"/>
      <c r="F157" s="179">
        <v>1800</v>
      </c>
      <c r="G157" s="126">
        <f>G9</f>
        <v>0.25</v>
      </c>
      <c r="H157" s="162">
        <f>H9</f>
        <v>0</v>
      </c>
      <c r="I157" s="16"/>
      <c r="J157" s="16"/>
      <c r="K157" s="50">
        <f>ROUNDUP(inputs!$B$7*H157/(1.95*G157^2),0)-K172</f>
        <v>0</v>
      </c>
      <c r="L157" s="17">
        <f>L9</f>
        <v>417.66666666666669</v>
      </c>
      <c r="M157" s="50">
        <f>L157*K157</f>
        <v>0</v>
      </c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95"/>
      <c r="Y157" s="19">
        <f>inputs!$L$53</f>
        <v>0.6</v>
      </c>
      <c r="Z157" s="7">
        <f>inputs!$K$53</f>
        <v>2145</v>
      </c>
      <c r="AA157" s="7">
        <f>Y157*Z157*(1-AH169)</f>
        <v>0</v>
      </c>
      <c r="AB157" s="7">
        <f>Z157*AH169</f>
        <v>2145</v>
      </c>
      <c r="AC157" s="7">
        <f>Y157*Z157</f>
        <v>1287</v>
      </c>
      <c r="AD157" s="7">
        <f>(Z157-Y157*Z157)*AH169</f>
        <v>858</v>
      </c>
      <c r="AE157" s="7">
        <f>AA157+AB157</f>
        <v>2145</v>
      </c>
      <c r="AG157" s="195"/>
      <c r="AQ157" s="75" t="s">
        <v>319</v>
      </c>
      <c r="AR157" s="63"/>
      <c r="AS157" s="17">
        <f>AX140+SUM('Core Urban'!AX147:AX147)+SUM('Core Urban'!AX153:AX154)</f>
        <v>120818</v>
      </c>
      <c r="AT157" s="63"/>
      <c r="AU157" s="63"/>
      <c r="AV157" s="63"/>
      <c r="AW157" s="63"/>
      <c r="AX157" s="78"/>
      <c r="AY157" s="63"/>
      <c r="AZ157" s="63"/>
      <c r="BA157" s="63"/>
      <c r="BB157" s="63"/>
      <c r="BC157" s="63"/>
    </row>
    <row r="158" spans="4:55" x14ac:dyDescent="0.25">
      <c r="E158" s="179"/>
      <c r="F158" s="179"/>
      <c r="G158" s="9"/>
      <c r="H158" s="16"/>
      <c r="I158" s="16"/>
      <c r="J158" s="16"/>
      <c r="K158" s="50">
        <f>K155+K157+K156</f>
        <v>1949</v>
      </c>
      <c r="L158" s="17"/>
      <c r="M158" s="50">
        <f>M155+M157+M156</f>
        <v>506989</v>
      </c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95"/>
      <c r="Y158" s="14"/>
      <c r="AA158" s="7">
        <f>(AA155*K155+AA156*K156+AA157*K157)*24*30/1000/1000/1000</f>
        <v>0</v>
      </c>
      <c r="AB158" s="7">
        <f>(AB155*K155+AB156*K156+AB157*K157)*24*30/1000/1000/1000</f>
        <v>3.0100356000000001</v>
      </c>
      <c r="AC158" s="7">
        <f>(AC155*K155+AC156*K156+AC157*K157)*24*30/1000/1000/1000</f>
        <v>1.8060213600000001</v>
      </c>
      <c r="AD158" s="7">
        <f>(AD155*K155+AD156*K156+AD157*K157)*24*30/1000/1000/1000</f>
        <v>1.20401424</v>
      </c>
      <c r="AE158" s="7">
        <f>(AE155*K155+AE156*K156+AE157*K157)*24*30/1000/1000/1000</f>
        <v>3.0100356000000001</v>
      </c>
      <c r="AF158" s="7" t="s">
        <v>167</v>
      </c>
      <c r="AG158" s="195"/>
      <c r="AQ158" s="79" t="s">
        <v>158</v>
      </c>
      <c r="AR158" s="80"/>
      <c r="AS158" s="212">
        <f>SUM('Core Urban'!AX142:AX144)</f>
        <v>2500000</v>
      </c>
      <c r="AT158" s="80"/>
      <c r="AU158" s="80"/>
      <c r="AV158" s="80"/>
      <c r="AW158" s="80"/>
      <c r="AX158" s="81"/>
      <c r="AY158" s="63"/>
      <c r="AZ158" s="63"/>
      <c r="BA158" s="63"/>
      <c r="BB158" s="63"/>
      <c r="BC158" s="63"/>
    </row>
    <row r="159" spans="4:55" x14ac:dyDescent="0.25">
      <c r="F159" s="12"/>
      <c r="G159" s="179"/>
      <c r="H159" s="179"/>
      <c r="I159" s="184"/>
      <c r="J159" s="184"/>
      <c r="K159" s="179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95"/>
      <c r="AG159" s="195"/>
      <c r="AQ159" s="63"/>
      <c r="AR159" s="63"/>
      <c r="AS159" s="63"/>
      <c r="AT159" s="63"/>
      <c r="AU159" s="63"/>
      <c r="AV159" s="63"/>
      <c r="AW159" s="63"/>
      <c r="AX159" s="63"/>
      <c r="AY159" s="63"/>
      <c r="AZ159" s="63"/>
      <c r="BA159" s="63"/>
      <c r="BB159" s="63"/>
      <c r="BC159" s="63"/>
    </row>
    <row r="160" spans="4:55" x14ac:dyDescent="0.25">
      <c r="D160" s="179" t="s">
        <v>27</v>
      </c>
      <c r="E160" s="12"/>
      <c r="F160" s="179"/>
      <c r="G160" s="179" t="s">
        <v>41</v>
      </c>
      <c r="H160" s="179" t="s">
        <v>26</v>
      </c>
      <c r="I160" s="184"/>
      <c r="J160" s="184"/>
      <c r="K160" s="179" t="s">
        <v>28</v>
      </c>
      <c r="L160" s="13" t="s">
        <v>42</v>
      </c>
      <c r="M160" s="179" t="s">
        <v>43</v>
      </c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AG160" s="195"/>
      <c r="BA160" s="63"/>
      <c r="BB160" s="63"/>
      <c r="BC160" s="63"/>
    </row>
    <row r="161" spans="4:55" x14ac:dyDescent="0.25">
      <c r="E161" s="179" t="s">
        <v>29</v>
      </c>
      <c r="F161" s="179">
        <v>2100</v>
      </c>
      <c r="G161" s="169">
        <f>G14</f>
        <v>0.23</v>
      </c>
      <c r="H161" s="27">
        <f>H14</f>
        <v>0</v>
      </c>
      <c r="I161" s="25"/>
      <c r="J161" s="25"/>
      <c r="K161" s="50">
        <f>ROUNDUP(inputs!$B$7*H161/(1.95*G161^2),0)</f>
        <v>0</v>
      </c>
      <c r="L161" s="17">
        <f>L14</f>
        <v>4350.5859375</v>
      </c>
      <c r="M161" s="50">
        <f>L161*K161</f>
        <v>0</v>
      </c>
      <c r="N161" s="50">
        <f>M158+M164+M173</f>
        <v>9592462.6328125</v>
      </c>
      <c r="O161" s="50"/>
      <c r="P161" s="50"/>
      <c r="Q161" s="50"/>
      <c r="R161" s="50"/>
      <c r="S161" s="50"/>
      <c r="T161" s="50"/>
      <c r="U161" s="50"/>
      <c r="V161" s="50"/>
      <c r="W161" s="50"/>
      <c r="Y161" s="19">
        <f>inputs!$L$54</f>
        <v>0.55000000000000004</v>
      </c>
      <c r="Z161" s="7">
        <f>inputs!$K$54</f>
        <v>1450</v>
      </c>
      <c r="AA161" s="7">
        <f>Y161*Z161*(1-AH169)</f>
        <v>0</v>
      </c>
      <c r="AB161" s="7">
        <f>Z161*AH169</f>
        <v>1450</v>
      </c>
      <c r="AC161" s="7">
        <f>Y161*Z161</f>
        <v>797.50000000000011</v>
      </c>
      <c r="AD161" s="7">
        <f>(Z161-Y161*Z161)*AH169</f>
        <v>652.49999999999989</v>
      </c>
      <c r="AE161" s="7">
        <f>AA161+AB161</f>
        <v>1450</v>
      </c>
      <c r="AG161" s="195"/>
      <c r="BA161" s="63"/>
      <c r="BB161" s="63"/>
      <c r="BC161" s="63"/>
    </row>
    <row r="162" spans="4:55" x14ac:dyDescent="0.25">
      <c r="E162" s="179" t="s">
        <v>30</v>
      </c>
      <c r="F162" s="179"/>
      <c r="G162" s="170">
        <f>G15</f>
        <v>0.23</v>
      </c>
      <c r="H162" s="29">
        <f>H15</f>
        <v>0.15183666666666662</v>
      </c>
      <c r="I162" s="25"/>
      <c r="J162" s="25"/>
      <c r="K162" s="50">
        <f>ROUNDUP(inputs!$B$7*H162/(1.95*G162^2),0)</f>
        <v>895</v>
      </c>
      <c r="L162" s="17">
        <f>L15</f>
        <v>10151.3671875</v>
      </c>
      <c r="M162" s="50">
        <f>L162*K162</f>
        <v>9085473.6328125</v>
      </c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Y162" s="19">
        <f>inputs!$L$55</f>
        <v>0.55000000000000004</v>
      </c>
      <c r="Z162" s="7">
        <f>inputs!$K$55</f>
        <v>1500</v>
      </c>
      <c r="AA162" s="7">
        <f>Y162*Z162*(1-AH169)</f>
        <v>0</v>
      </c>
      <c r="AB162" s="7">
        <f>Z162*AH169</f>
        <v>1500</v>
      </c>
      <c r="AC162" s="7">
        <f>Y162*Z162</f>
        <v>825.00000000000011</v>
      </c>
      <c r="AD162" s="7">
        <f>(Z162-Y162*Z162)*AH169</f>
        <v>674.99999999999989</v>
      </c>
      <c r="AE162" s="7">
        <f>AA162+AB162</f>
        <v>1500</v>
      </c>
      <c r="AG162" s="195"/>
      <c r="AS162" s="7" t="s">
        <v>321</v>
      </c>
      <c r="BA162" s="63"/>
      <c r="BB162" s="63"/>
      <c r="BC162" s="63"/>
    </row>
    <row r="163" spans="4:55" x14ac:dyDescent="0.25">
      <c r="E163" s="179" t="s">
        <v>31</v>
      </c>
      <c r="F163" s="179"/>
      <c r="G163" s="171">
        <f>G21</f>
        <v>0.23</v>
      </c>
      <c r="H163" s="24">
        <f>H21</f>
        <v>0</v>
      </c>
      <c r="I163" s="25"/>
      <c r="J163" s="25"/>
      <c r="K163" s="50">
        <f>ROUNDUP(inputs!$B$7*H163/(1.95*G163^2),0)</f>
        <v>0</v>
      </c>
      <c r="L163" s="17">
        <f>L21</f>
        <v>21269.53125</v>
      </c>
      <c r="M163" s="50">
        <f>L163*K163</f>
        <v>0</v>
      </c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Y163" s="19">
        <f>inputs!$L$57</f>
        <v>0.55000000000000004</v>
      </c>
      <c r="Z163" s="7">
        <f>inputs!$K$57</f>
        <v>1600</v>
      </c>
      <c r="AA163" s="7">
        <f>Y163*Z163*(1-AH169)</f>
        <v>0</v>
      </c>
      <c r="AB163" s="7">
        <f>Z163*AH169</f>
        <v>1600</v>
      </c>
      <c r="AC163" s="7">
        <f>Y163*Z163</f>
        <v>880.00000000000011</v>
      </c>
      <c r="AD163" s="7">
        <f>(Z163-Y163*Z163)*AH169</f>
        <v>719.99999999999989</v>
      </c>
      <c r="AE163" s="7">
        <f>AA163+AB163</f>
        <v>1600</v>
      </c>
      <c r="AG163" s="195"/>
      <c r="AS163" s="7" t="s">
        <v>322</v>
      </c>
      <c r="BA163" s="63"/>
      <c r="BB163" s="63"/>
      <c r="BC163" s="63"/>
    </row>
    <row r="164" spans="4:55" x14ac:dyDescent="0.25">
      <c r="E164" s="179"/>
      <c r="F164" s="179"/>
      <c r="G164" s="26"/>
      <c r="H164" s="25"/>
      <c r="I164" s="25"/>
      <c r="J164" s="25"/>
      <c r="K164" s="50">
        <f>K161+K162+K163</f>
        <v>895</v>
      </c>
      <c r="L164" s="17"/>
      <c r="M164" s="50">
        <f>M161+M162+M163</f>
        <v>9085473.6328125</v>
      </c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Y164" s="17"/>
      <c r="AI164" s="25"/>
      <c r="AS164" s="7" t="s">
        <v>323</v>
      </c>
      <c r="BA164" s="63"/>
      <c r="BB164" s="63"/>
      <c r="BC164" s="63"/>
    </row>
    <row r="165" spans="4:55" x14ac:dyDescent="0.25">
      <c r="E165" s="179"/>
      <c r="F165" s="179"/>
      <c r="G165" s="26"/>
      <c r="H165" s="25"/>
      <c r="I165" s="25"/>
      <c r="J165" s="25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Y165" s="17"/>
      <c r="AG165" s="195"/>
      <c r="AI165" s="25"/>
      <c r="AQ165" s="63"/>
      <c r="AR165" s="63"/>
      <c r="AS165" s="63"/>
      <c r="AT165" s="63"/>
      <c r="AU165" s="63"/>
      <c r="AV165" s="63"/>
      <c r="AW165" s="63"/>
      <c r="AX165" s="63"/>
      <c r="AY165" s="63"/>
      <c r="AZ165" s="63"/>
      <c r="BA165" s="63"/>
      <c r="BB165" s="63"/>
      <c r="BC165" s="63"/>
    </row>
    <row r="166" spans="4:55" x14ac:dyDescent="0.25">
      <c r="E166" s="179" t="s">
        <v>29</v>
      </c>
      <c r="F166" s="179">
        <v>900</v>
      </c>
      <c r="G166" s="169">
        <f>G27</f>
        <v>0.4</v>
      </c>
      <c r="H166" s="27">
        <f>H27</f>
        <v>0.5</v>
      </c>
      <c r="I166" s="25"/>
      <c r="J166" s="25"/>
      <c r="K166" s="17">
        <f>ROUNDUP(inputs!$B$7*H166/(1.95*G166^2),0)</f>
        <v>975</v>
      </c>
      <c r="L166" s="17">
        <f>L27</f>
        <v>4350.5859375</v>
      </c>
      <c r="M166" s="17">
        <f>L166*K166</f>
        <v>4241821.2890625</v>
      </c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Y166" s="19">
        <f>inputs!$L$54</f>
        <v>0.55000000000000004</v>
      </c>
      <c r="Z166" s="7">
        <f>inputs!$K$54</f>
        <v>1450</v>
      </c>
      <c r="AA166" s="7">
        <f>Y166*Z166*(1-AH169)</f>
        <v>0</v>
      </c>
      <c r="AB166" s="7">
        <f>Z166*AH169</f>
        <v>1450</v>
      </c>
      <c r="AC166" s="7">
        <f>Y166*Z166</f>
        <v>797.50000000000011</v>
      </c>
      <c r="AD166" s="7">
        <f>(Z166-Y166*Z166)*AH169</f>
        <v>652.49999999999989</v>
      </c>
      <c r="AE166" s="7">
        <f>AA166+AB166</f>
        <v>1450</v>
      </c>
      <c r="AG166" s="195"/>
      <c r="AI166" s="25"/>
      <c r="AQ166" s="63"/>
      <c r="AR166" s="63"/>
      <c r="AS166" s="63"/>
      <c r="AT166" s="63"/>
      <c r="AU166" s="63"/>
      <c r="AV166" s="63"/>
      <c r="AW166" s="63"/>
      <c r="AX166" s="63"/>
      <c r="AY166" s="63"/>
      <c r="AZ166" s="63"/>
      <c r="BA166" s="63"/>
      <c r="BB166" s="63"/>
      <c r="BC166" s="63"/>
    </row>
    <row r="167" spans="4:55" x14ac:dyDescent="0.25">
      <c r="E167" s="179" t="s">
        <v>30</v>
      </c>
      <c r="F167" s="179"/>
      <c r="G167" s="171">
        <f>G28</f>
        <v>0.4</v>
      </c>
      <c r="H167" s="24">
        <f>H28</f>
        <v>0</v>
      </c>
      <c r="I167" s="25"/>
      <c r="J167" s="25"/>
      <c r="K167" s="17">
        <f>ROUNDUP(inputs!$B$7*H167/(1.95*G167^2),0)</f>
        <v>0</v>
      </c>
      <c r="L167" s="17">
        <f>L28</f>
        <v>5317.3828125</v>
      </c>
      <c r="M167" s="17">
        <f>L167*K167</f>
        <v>0</v>
      </c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Y167" s="19">
        <f>inputs!$L$55</f>
        <v>0.55000000000000004</v>
      </c>
      <c r="Z167" s="7">
        <f>inputs!$K$55</f>
        <v>1500</v>
      </c>
      <c r="AA167" s="7">
        <f>Y167*Z167*(1-AH169)</f>
        <v>0</v>
      </c>
      <c r="AB167" s="7">
        <f>Z167*AH169</f>
        <v>1500</v>
      </c>
      <c r="AC167" s="7">
        <f>Y167*Z167</f>
        <v>825.00000000000011</v>
      </c>
      <c r="AD167" s="7">
        <f>(Z167-Y167*Z167)*AH169</f>
        <v>674.99999999999989</v>
      </c>
      <c r="AE167" s="7">
        <f>AA167+AB167</f>
        <v>1500</v>
      </c>
      <c r="AG167" s="195"/>
      <c r="AQ167" s="63"/>
      <c r="AR167" s="63"/>
      <c r="AS167" s="63"/>
      <c r="AT167" s="63"/>
      <c r="AU167" s="63"/>
      <c r="AV167" s="63"/>
      <c r="AW167" s="63"/>
      <c r="AX167" s="63"/>
      <c r="AY167" s="63"/>
      <c r="AZ167" s="63"/>
      <c r="BA167" s="63"/>
      <c r="BB167" s="63"/>
      <c r="BC167" s="63"/>
    </row>
    <row r="168" spans="4:55" x14ac:dyDescent="0.25">
      <c r="E168" s="179"/>
      <c r="F168" s="179"/>
      <c r="G168" s="26"/>
      <c r="H168" s="25"/>
      <c r="I168" s="25"/>
      <c r="J168" s="25"/>
      <c r="K168" s="17">
        <f>K166+K167</f>
        <v>975</v>
      </c>
      <c r="L168" s="17"/>
      <c r="M168" s="17">
        <f>M166+M167</f>
        <v>4241821.2890625</v>
      </c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Y168" s="17"/>
      <c r="AG168" s="195"/>
      <c r="AH168" s="7" t="s">
        <v>123</v>
      </c>
      <c r="AQ168" s="63"/>
      <c r="AR168" s="63"/>
      <c r="AS168" s="63"/>
      <c r="AT168" s="63"/>
      <c r="AU168" s="63"/>
      <c r="AV168" s="63"/>
      <c r="AW168" s="63"/>
      <c r="AX168" s="63"/>
      <c r="AY168" s="63"/>
      <c r="AZ168" s="63"/>
      <c r="BA168" s="63"/>
      <c r="BB168" s="63"/>
      <c r="BC168" s="63"/>
    </row>
    <row r="169" spans="4:55" x14ac:dyDescent="0.25">
      <c r="F169" s="12"/>
      <c r="G169" s="179"/>
      <c r="H169" s="179"/>
      <c r="I169" s="184"/>
      <c r="J169" s="184"/>
      <c r="K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Y169" s="14"/>
      <c r="AA169" s="7">
        <f>(AA161*$K161+AA162*$K162+AA163*$K163+AA166*$K166+AA167*$K167)*24*30/1000/1000/1000</f>
        <v>0</v>
      </c>
      <c r="AB169" s="7">
        <f>(AB161*$K161+AB162*$K162+AB163*$K163+AB166*$K166+AB167*$K167)*24*30/1000/1000/1000</f>
        <v>1.9844999999999999</v>
      </c>
      <c r="AC169" s="7">
        <f>(AC161*$K161+AC162*$K162+AC163*$K163+AC166*$K166+AC167*$K167)*24*30/1000/1000/1000</f>
        <v>1.0914750000000002</v>
      </c>
      <c r="AD169" s="7">
        <f>(AD161*$K161+AD162*$K162+AD163*$K163+AD166*$K166+AD167*$K167)*24*30/1000/1000/1000</f>
        <v>0.89302499999999974</v>
      </c>
      <c r="AE169" s="7">
        <f>(AE161*$K161+AE162*$K162+AE163*$K163+AE166*$K166+AE167*$K167)*24*30/1000/1000/1000</f>
        <v>1.9844999999999999</v>
      </c>
      <c r="AF169" s="7" t="s">
        <v>167</v>
      </c>
      <c r="AG169" s="195"/>
      <c r="AH169" s="61">
        <f>IF(G152/((M158+M164+M168+M173)*60*60*24*30/8/1024/1024/1024)&gt;1,1,G152/((M158+M164+M168+M173)*60*60*24*30/8/1024/1024/1024))</f>
        <v>1</v>
      </c>
      <c r="AQ169" s="63"/>
      <c r="AR169" s="63"/>
      <c r="AS169" s="63"/>
      <c r="AT169" s="63"/>
      <c r="AU169" s="63"/>
      <c r="AV169" s="63"/>
      <c r="AW169" s="63"/>
      <c r="AX169" s="63"/>
      <c r="AY169" s="63"/>
      <c r="AZ169" s="63"/>
      <c r="BA169" s="63"/>
      <c r="BB169" s="63"/>
      <c r="BC169" s="63"/>
    </row>
    <row r="170" spans="4:55" x14ac:dyDescent="0.25">
      <c r="D170" s="179" t="s">
        <v>32</v>
      </c>
      <c r="E170" s="179"/>
      <c r="F170" s="179"/>
      <c r="G170" s="179" t="s">
        <v>41</v>
      </c>
      <c r="H170" s="179" t="s">
        <v>26</v>
      </c>
      <c r="I170" s="184"/>
      <c r="J170" s="184"/>
      <c r="K170" s="179" t="s">
        <v>33</v>
      </c>
      <c r="L170" s="13" t="s">
        <v>42</v>
      </c>
      <c r="M170" s="179" t="s">
        <v>43</v>
      </c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AG170" s="195"/>
      <c r="AQ170" s="63"/>
      <c r="AR170" s="63"/>
      <c r="AS170" s="63"/>
      <c r="AT170" s="63"/>
      <c r="AU170" s="63"/>
      <c r="AV170" s="63"/>
      <c r="AW170" s="63"/>
      <c r="AX170" s="63"/>
      <c r="AY170" s="63"/>
      <c r="AZ170" s="63"/>
      <c r="BA170" s="63"/>
      <c r="BB170" s="63"/>
      <c r="BC170" s="63"/>
    </row>
    <row r="171" spans="4:55" x14ac:dyDescent="0.25">
      <c r="E171" s="179" t="s">
        <v>34</v>
      </c>
      <c r="F171" s="179">
        <v>2600</v>
      </c>
      <c r="G171" s="167">
        <f>G33</f>
        <v>0.2</v>
      </c>
      <c r="H171" s="177">
        <f>MIN(1,K172*(1.95*G171^2)/inputs!$B$7)</f>
        <v>0</v>
      </c>
      <c r="I171" s="25"/>
      <c r="J171" s="25"/>
      <c r="K171" s="50">
        <f>ROUNDUP(inputs!$B$7*H171/(1.95*G171^2),0)</f>
        <v>0</v>
      </c>
      <c r="L171" s="17">
        <f>L33</f>
        <v>30468.75</v>
      </c>
      <c r="M171" s="17">
        <f>L171*K171</f>
        <v>0</v>
      </c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Y171" s="19"/>
      <c r="AG171" s="195"/>
    </row>
    <row r="172" spans="4:55" x14ac:dyDescent="0.25">
      <c r="E172" s="179" t="s">
        <v>35</v>
      </c>
      <c r="F172" s="179">
        <v>1800</v>
      </c>
      <c r="G172" s="126">
        <f>G35</f>
        <v>0.25</v>
      </c>
      <c r="H172" s="25">
        <f>MIN(1,K172*(1.95*G172^2)/inputs!$B$7)</f>
        <v>0</v>
      </c>
      <c r="I172" s="25"/>
      <c r="J172" s="25"/>
      <c r="K172" s="50">
        <f>K35+K151</f>
        <v>0</v>
      </c>
      <c r="L172" s="17">
        <f>L35</f>
        <v>30468.75</v>
      </c>
      <c r="M172" s="17">
        <f>L172*K172</f>
        <v>0</v>
      </c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Y172" s="19">
        <f>inputs!$L$59</f>
        <v>0.5</v>
      </c>
      <c r="Z172" s="7">
        <f>inputs!$K$59</f>
        <v>1500</v>
      </c>
      <c r="AA172" s="7">
        <f>Y172*Z172*(1-AH169)</f>
        <v>0</v>
      </c>
      <c r="AB172" s="7">
        <f>Z172*AH169</f>
        <v>1500</v>
      </c>
      <c r="AC172" s="7">
        <f>Y172*Z172</f>
        <v>750</v>
      </c>
      <c r="AD172" s="7">
        <f>(Z172-Y172*Z172)*AH169</f>
        <v>750</v>
      </c>
      <c r="AE172" s="7">
        <f>AA172+AB172</f>
        <v>1500</v>
      </c>
      <c r="AG172" s="195"/>
    </row>
    <row r="173" spans="4:55" x14ac:dyDescent="0.25">
      <c r="E173" s="179"/>
      <c r="F173" s="179"/>
      <c r="G173" s="26"/>
      <c r="H173" s="25"/>
      <c r="I173" s="25"/>
      <c r="J173" s="25"/>
      <c r="K173" s="50">
        <f>K171</f>
        <v>0</v>
      </c>
      <c r="L173" s="17"/>
      <c r="M173" s="50">
        <f>M171+M172</f>
        <v>0</v>
      </c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AA173" s="7">
        <f>(AA171*K171+AA172*K172)*24*30/1000/1000/1000</f>
        <v>0</v>
      </c>
      <c r="AB173" s="7">
        <f>(AB171*K171+AB172*K172)*24*30/1000/1000/1000</f>
        <v>0</v>
      </c>
      <c r="AC173" s="7">
        <f>(AC171*K171+AC172*K172)*24*30/1000/1000/1000</f>
        <v>0</v>
      </c>
      <c r="AD173" s="7">
        <f>(AD171*K171+AD172*K172)*24*30/1000/1000/1000</f>
        <v>0</v>
      </c>
      <c r="AE173" s="7">
        <f>(AE171*K171+AE172*K172)*24*30/1000/1000/1000</f>
        <v>0</v>
      </c>
      <c r="AF173" s="7" t="s">
        <v>167</v>
      </c>
      <c r="AG173" s="195"/>
    </row>
    <row r="174" spans="4:55" x14ac:dyDescent="0.25">
      <c r="G174" s="7" t="s">
        <v>201</v>
      </c>
      <c r="H174" s="20">
        <f>MIN(ROUNDDOWN(inputs!B7/(1.95*G171^2),0),K172)</f>
        <v>0</v>
      </c>
      <c r="I174" s="20"/>
      <c r="J174" s="20"/>
      <c r="AG174" s="195"/>
    </row>
    <row r="175" spans="4:55" x14ac:dyDescent="0.25">
      <c r="G175" s="7" t="s">
        <v>226</v>
      </c>
      <c r="H175" s="20">
        <f>H174-K137</f>
        <v>0</v>
      </c>
      <c r="I175" s="20"/>
      <c r="J175" s="20"/>
      <c r="K175" s="11">
        <f>K158+K164+K173</f>
        <v>2844</v>
      </c>
    </row>
    <row r="176" spans="4:55" x14ac:dyDescent="0.25">
      <c r="AG176" s="195"/>
    </row>
    <row r="177" spans="3:34" x14ac:dyDescent="0.25">
      <c r="AG177" s="195"/>
    </row>
    <row r="178" spans="3:34" x14ac:dyDescent="0.25">
      <c r="AG178" s="195"/>
    </row>
    <row r="179" spans="3:34" x14ac:dyDescent="0.25">
      <c r="D179" s="63"/>
      <c r="E179" s="63"/>
      <c r="F179" s="63"/>
      <c r="G179" s="63"/>
      <c r="H179" s="63"/>
      <c r="I179" s="63"/>
      <c r="J179" s="63"/>
      <c r="K179" s="11" t="s">
        <v>218</v>
      </c>
      <c r="L179" s="11" t="s">
        <v>219</v>
      </c>
      <c r="M179" s="63"/>
      <c r="N179" s="63"/>
      <c r="O179" s="63"/>
      <c r="P179" s="63"/>
      <c r="Q179" s="63"/>
      <c r="R179" s="63"/>
      <c r="S179" s="63"/>
      <c r="T179" s="63"/>
      <c r="U179" s="63"/>
      <c r="V179" s="63"/>
      <c r="W179" s="63"/>
      <c r="Y179" s="63"/>
      <c r="Z179" s="63"/>
      <c r="AA179" s="63"/>
      <c r="AB179" s="63"/>
      <c r="AC179" s="63"/>
      <c r="AD179" s="63"/>
      <c r="AE179" s="63"/>
      <c r="AF179" s="63"/>
    </row>
    <row r="180" spans="3:34" x14ac:dyDescent="0.25">
      <c r="D180" s="63"/>
      <c r="E180" s="63"/>
      <c r="F180" s="63"/>
      <c r="G180" s="63"/>
      <c r="H180" s="63"/>
      <c r="I180" s="63"/>
      <c r="J180" s="63"/>
      <c r="K180" s="7">
        <f>($K$26)*4</f>
        <v>56</v>
      </c>
      <c r="L180" s="7">
        <f>$K$14+$K$15*2+$K$21*4+$K$27+$K$28*2</f>
        <v>43</v>
      </c>
      <c r="M180" s="63"/>
      <c r="N180" s="63"/>
      <c r="O180" s="63"/>
      <c r="P180" s="63"/>
      <c r="Q180" s="63"/>
      <c r="R180" s="63"/>
      <c r="S180" s="63"/>
      <c r="T180" s="63"/>
      <c r="U180" s="63"/>
      <c r="V180" s="63"/>
      <c r="W180" s="63"/>
      <c r="Y180" s="63"/>
      <c r="Z180" s="63"/>
      <c r="AA180" s="63"/>
      <c r="AB180" s="63"/>
      <c r="AC180" s="63"/>
      <c r="AD180" s="63"/>
      <c r="AE180" s="63"/>
      <c r="AF180" s="63"/>
      <c r="AG180" s="195"/>
    </row>
    <row r="181" spans="3:34" x14ac:dyDescent="0.25">
      <c r="C181" s="7" t="s">
        <v>206</v>
      </c>
      <c r="D181" s="63" t="s">
        <v>207</v>
      </c>
      <c r="E181" s="63"/>
      <c r="F181" s="63"/>
      <c r="G181" s="63"/>
      <c r="H181" s="63"/>
      <c r="I181" s="63"/>
      <c r="J181" s="63"/>
      <c r="K181" s="7" t="s">
        <v>220</v>
      </c>
      <c r="L181" s="7" t="s">
        <v>221</v>
      </c>
      <c r="M181" s="63"/>
      <c r="N181" s="63"/>
      <c r="O181" s="63"/>
      <c r="P181" s="63"/>
      <c r="Q181" s="63"/>
      <c r="R181" s="63"/>
      <c r="S181" s="63"/>
      <c r="T181" s="63"/>
      <c r="U181" s="63"/>
      <c r="V181" s="63"/>
      <c r="W181" s="63"/>
      <c r="Y181" s="63"/>
      <c r="Z181" s="63"/>
      <c r="AA181" s="63"/>
      <c r="AB181" s="63"/>
      <c r="AC181" s="63"/>
      <c r="AD181" s="63"/>
      <c r="AE181" s="63"/>
      <c r="AF181" s="63"/>
      <c r="AG181" s="195"/>
    </row>
    <row r="182" spans="3:34" x14ac:dyDescent="0.25">
      <c r="D182" s="7" t="s">
        <v>79</v>
      </c>
      <c r="E182" s="63">
        <v>0</v>
      </c>
      <c r="F182" s="63"/>
      <c r="G182" s="63"/>
      <c r="H182" s="63"/>
      <c r="I182" s="63"/>
      <c r="J182" s="63"/>
      <c r="K182" s="20">
        <f>$K$35+$K$9</f>
        <v>0</v>
      </c>
      <c r="L182" s="20">
        <f>$K$35</f>
        <v>0</v>
      </c>
      <c r="M182" s="63"/>
      <c r="N182" s="63"/>
      <c r="O182" s="63"/>
      <c r="P182" s="63"/>
      <c r="Q182" s="63"/>
      <c r="R182" s="63"/>
      <c r="S182" s="63"/>
      <c r="T182" s="63"/>
      <c r="U182" s="63"/>
      <c r="V182" s="63"/>
      <c r="W182" s="63"/>
      <c r="Y182" s="63"/>
      <c r="Z182" s="63"/>
      <c r="AA182" s="63"/>
      <c r="AB182" s="63"/>
      <c r="AC182" s="63"/>
      <c r="AD182" s="63"/>
      <c r="AE182" s="63"/>
      <c r="AF182" s="63"/>
      <c r="AG182" s="195"/>
    </row>
    <row r="183" spans="3:34" x14ac:dyDescent="0.25">
      <c r="D183" s="51" t="s">
        <v>186</v>
      </c>
      <c r="E183" s="63"/>
      <c r="F183" s="63">
        <f>(((L15-L14)*K14/(2*K14+K15)+((K14+K15)/(2*K14+K15))*(L21-L15)/2))*60*60/8/1024/1024/1024</f>
        <v>2.3297843654290773E-3</v>
      </c>
      <c r="G183" s="63" t="s">
        <v>36</v>
      </c>
      <c r="H183" s="63" t="s">
        <v>124</v>
      </c>
      <c r="I183" s="63"/>
      <c r="J183" s="63"/>
      <c r="K183" s="179"/>
      <c r="L183" s="63"/>
      <c r="M183" s="63"/>
      <c r="N183" s="63"/>
      <c r="O183" s="63"/>
      <c r="P183" s="63"/>
      <c r="Q183" s="63"/>
      <c r="R183" s="63"/>
      <c r="S183" s="63"/>
      <c r="T183" s="63"/>
      <c r="U183" s="63"/>
      <c r="V183" s="63"/>
      <c r="W183" s="63"/>
      <c r="Y183" s="63"/>
      <c r="Z183" s="63"/>
      <c r="AA183" s="63"/>
      <c r="AB183" s="63"/>
      <c r="AC183" s="63"/>
      <c r="AD183" s="63"/>
      <c r="AE183" s="63"/>
      <c r="AF183" s="63"/>
      <c r="AG183" s="195"/>
    </row>
    <row r="184" spans="3:34" x14ac:dyDescent="0.25">
      <c r="D184" s="63" t="s">
        <v>127</v>
      </c>
      <c r="E184" s="63"/>
      <c r="F184" s="63">
        <f>(L35-L9+L33)*60*60/8/1024/1024/1024</f>
        <v>2.5363569147884842E-2</v>
      </c>
      <c r="G184" s="63" t="s">
        <v>47</v>
      </c>
      <c r="H184" s="63" t="s">
        <v>48</v>
      </c>
      <c r="I184" s="63"/>
      <c r="J184" s="63"/>
      <c r="K184" s="63" t="s">
        <v>204</v>
      </c>
      <c r="L184" s="64" t="s">
        <v>205</v>
      </c>
      <c r="M184" s="63" t="s">
        <v>200</v>
      </c>
      <c r="N184" s="63"/>
      <c r="O184" s="63"/>
      <c r="P184" s="63"/>
      <c r="Q184" s="63"/>
      <c r="R184" s="63"/>
      <c r="S184" s="63"/>
      <c r="T184" s="63"/>
      <c r="U184" s="63"/>
      <c r="V184" s="63"/>
      <c r="W184" s="63"/>
      <c r="Y184" s="63"/>
      <c r="Z184" s="63"/>
      <c r="AA184" s="63"/>
      <c r="AB184" s="63"/>
      <c r="AC184" s="63"/>
      <c r="AD184" s="63"/>
      <c r="AE184" s="63"/>
      <c r="AF184" s="63"/>
      <c r="AG184" s="195"/>
    </row>
    <row r="185" spans="3:34" x14ac:dyDescent="0.25">
      <c r="D185" s="63"/>
      <c r="E185" s="63"/>
      <c r="F185" s="63" t="s">
        <v>25</v>
      </c>
      <c r="G185" s="9">
        <f>G188*$AI$14</f>
        <v>16.368011990681694</v>
      </c>
      <c r="H185" s="9"/>
      <c r="I185" s="9"/>
      <c r="J185" s="9"/>
      <c r="K185" s="63" t="s">
        <v>22</v>
      </c>
      <c r="L185" s="63"/>
      <c r="M185" s="63"/>
      <c r="N185" s="63"/>
      <c r="O185" s="63"/>
      <c r="P185" s="63"/>
      <c r="Q185" s="63"/>
      <c r="R185" s="63"/>
      <c r="S185" s="63"/>
      <c r="T185" s="63"/>
      <c r="U185" s="63"/>
      <c r="V185" s="63"/>
      <c r="W185" s="63"/>
      <c r="Y185" s="63"/>
      <c r="Z185" s="63"/>
      <c r="AA185" s="63"/>
      <c r="AB185" s="63"/>
      <c r="AC185" s="63"/>
      <c r="AD185" s="63"/>
      <c r="AE185" s="63"/>
      <c r="AF185" s="63"/>
      <c r="AG185" s="195"/>
      <c r="AH185" s="63"/>
    </row>
    <row r="186" spans="3:34" x14ac:dyDescent="0.25">
      <c r="C186" s="7" t="s">
        <v>225</v>
      </c>
      <c r="D186" s="63">
        <f>E186/(E186+E187)</f>
        <v>1</v>
      </c>
      <c r="E186" s="63">
        <f>F183*(K26*4-(K14+K15*2+K21*4))</f>
        <v>6.5233962232014164E-2</v>
      </c>
      <c r="F186" s="63" t="s">
        <v>27</v>
      </c>
      <c r="G186" s="9">
        <f>G188*$AI$15</f>
        <v>427.15483125756163</v>
      </c>
      <c r="H186" s="9"/>
      <c r="I186" s="9"/>
      <c r="J186" s="9"/>
      <c r="K186" s="65">
        <f>D186*H188</f>
        <v>424.89324586181516</v>
      </c>
      <c r="L186" s="63">
        <f>ROUNDUP(IF(SUM(K14:K25)*4-(K14+K15*2+K21*4)-K186/F183&lt;0,SUM(K14:K25)*4-(K14+K15*2+K21*4),K186/F183),0)</f>
        <v>28</v>
      </c>
      <c r="M186" s="63">
        <f>IF(SUM(K14:K25)*4-(L186+K14+K15*2+K21*4)&lt;0,0,SUM(K14:K25)*4-(L186+K14+K15*2+K21*4))</f>
        <v>0</v>
      </c>
      <c r="N186" s="63"/>
      <c r="O186" s="63"/>
      <c r="P186" s="63"/>
      <c r="Q186" s="63"/>
      <c r="R186" s="63"/>
      <c r="S186" s="63"/>
      <c r="T186" s="63"/>
      <c r="U186" s="63"/>
      <c r="V186" s="63"/>
      <c r="W186" s="63"/>
      <c r="Y186" s="65"/>
      <c r="Z186" s="63"/>
      <c r="AA186" s="63"/>
      <c r="AB186" s="63"/>
      <c r="AC186" s="63"/>
      <c r="AD186" s="63"/>
      <c r="AE186" s="63"/>
      <c r="AF186" s="63"/>
      <c r="AG186" s="195"/>
      <c r="AH186" s="63"/>
    </row>
    <row r="187" spans="3:34" x14ac:dyDescent="0.25">
      <c r="C187" s="7" t="s">
        <v>224</v>
      </c>
      <c r="D187" s="63">
        <f>E187/(E186+E187)</f>
        <v>0</v>
      </c>
      <c r="E187" s="63">
        <f>F184*(K9+K35-K35)</f>
        <v>0</v>
      </c>
      <c r="F187" s="63" t="s">
        <v>32</v>
      </c>
      <c r="G187" s="9">
        <f>G188*$AI$16</f>
        <v>2973.3696109308344</v>
      </c>
      <c r="H187" s="9"/>
      <c r="I187" s="9"/>
      <c r="J187" s="9"/>
      <c r="K187" s="65">
        <f>D187*H188</f>
        <v>0</v>
      </c>
      <c r="L187" s="63">
        <f>ROUNDUP(IF(K187/F184&lt;K9,K187/F184,K9),0)</f>
        <v>0</v>
      </c>
      <c r="M187" s="65">
        <f>K9-L187</f>
        <v>0</v>
      </c>
      <c r="N187" s="63"/>
      <c r="O187" s="63"/>
      <c r="P187" s="63"/>
      <c r="Q187" s="63"/>
      <c r="R187" s="63"/>
      <c r="S187" s="63"/>
      <c r="T187" s="63"/>
      <c r="U187" s="63"/>
      <c r="V187" s="63"/>
      <c r="W187" s="63"/>
      <c r="Y187" s="63"/>
      <c r="Z187" s="63"/>
      <c r="AA187" s="63"/>
      <c r="AB187" s="63"/>
      <c r="AC187" s="63"/>
      <c r="AD187" s="63"/>
      <c r="AE187" s="63"/>
      <c r="AF187" s="63"/>
      <c r="AH187" s="63"/>
    </row>
    <row r="188" spans="3:34" x14ac:dyDescent="0.25">
      <c r="D188" s="63"/>
      <c r="E188" s="63">
        <f>E187/E186</f>
        <v>0</v>
      </c>
      <c r="F188" s="63" t="s">
        <v>37</v>
      </c>
      <c r="G188" s="9">
        <f>IF(E182=1,(inputs!$L$4/(1+inputs!$F$13))/6-#REF!,(inputs!$L$4/(1+inputs!$F$13))/6)</f>
        <v>26665.978592057538</v>
      </c>
      <c r="H188" s="8">
        <f>IF(((G188-AK26)/30)*inputs!F3/inputs!F8&lt;0,0,((G188-AK26)/30)*inputs!F3/inputs!F8)</f>
        <v>424.89324586181516</v>
      </c>
      <c r="I188" s="8"/>
      <c r="J188" s="8"/>
      <c r="K188" s="65"/>
      <c r="L188" s="63"/>
      <c r="M188" s="63"/>
      <c r="N188" s="63"/>
      <c r="O188" s="63"/>
      <c r="P188" s="63"/>
      <c r="Q188" s="63"/>
      <c r="R188" s="63"/>
      <c r="S188" s="63"/>
      <c r="T188" s="63"/>
      <c r="U188" s="63"/>
      <c r="V188" s="63"/>
      <c r="W188" s="63"/>
      <c r="Y188" s="65"/>
      <c r="Z188" s="63"/>
      <c r="AA188" s="63"/>
      <c r="AB188" s="63"/>
      <c r="AC188" s="63"/>
      <c r="AD188" s="63"/>
      <c r="AE188" s="63"/>
      <c r="AF188" s="63"/>
      <c r="AH188" s="63"/>
    </row>
    <row r="189" spans="3:34" x14ac:dyDescent="0.25">
      <c r="D189" s="63"/>
      <c r="E189" s="63">
        <f>1+E188</f>
        <v>1</v>
      </c>
      <c r="F189" s="63">
        <f>1/E189</f>
        <v>1</v>
      </c>
      <c r="G189" s="63">
        <f>G188/30*inputs!F3/inputs!F8</f>
        <v>444.43297653429227</v>
      </c>
      <c r="H189" s="63"/>
      <c r="I189" s="63"/>
      <c r="J189" s="63"/>
      <c r="K189" s="63"/>
      <c r="L189" s="63"/>
      <c r="M189" s="63"/>
      <c r="N189" s="63"/>
      <c r="O189" s="63"/>
      <c r="P189" s="63"/>
      <c r="Q189" s="63"/>
      <c r="R189" s="63"/>
      <c r="S189" s="63"/>
      <c r="T189" s="63"/>
      <c r="U189" s="63"/>
      <c r="V189" s="63"/>
      <c r="W189" s="63"/>
      <c r="Y189" s="63"/>
      <c r="Z189" s="63"/>
      <c r="AA189" s="63"/>
      <c r="AB189" s="63"/>
      <c r="AC189" s="63"/>
      <c r="AD189" s="63"/>
      <c r="AE189" s="63"/>
      <c r="AF189" s="63"/>
      <c r="AH189" s="63"/>
    </row>
    <row r="190" spans="3:34" x14ac:dyDescent="0.25">
      <c r="D190" s="179" t="s">
        <v>25</v>
      </c>
      <c r="E190" s="179"/>
      <c r="F190" s="179"/>
      <c r="G190" s="179" t="s">
        <v>41</v>
      </c>
      <c r="H190" s="179" t="s">
        <v>26</v>
      </c>
      <c r="I190" s="184"/>
      <c r="J190" s="184"/>
      <c r="K190" s="179" t="s">
        <v>44</v>
      </c>
      <c r="L190" s="13" t="s">
        <v>42</v>
      </c>
      <c r="M190" s="179" t="s">
        <v>43</v>
      </c>
      <c r="N190" s="63"/>
      <c r="O190" s="63"/>
      <c r="P190" s="63"/>
      <c r="Q190" s="63"/>
      <c r="R190" s="63"/>
      <c r="S190" s="63"/>
      <c r="T190" s="63"/>
      <c r="U190" s="63"/>
      <c r="V190" s="63"/>
      <c r="W190" s="63"/>
      <c r="Y190" s="66" t="s">
        <v>131</v>
      </c>
      <c r="Z190" s="179" t="s">
        <v>133</v>
      </c>
      <c r="AA190" s="179" t="s">
        <v>134</v>
      </c>
      <c r="AB190" s="179" t="s">
        <v>135</v>
      </c>
      <c r="AC190" s="179" t="s">
        <v>136</v>
      </c>
      <c r="AD190" s="179" t="s">
        <v>132</v>
      </c>
      <c r="AE190" s="179" t="s">
        <v>6</v>
      </c>
      <c r="AF190" s="63"/>
      <c r="AH190" s="63"/>
    </row>
    <row r="191" spans="3:34" x14ac:dyDescent="0.25">
      <c r="D191" s="63"/>
      <c r="E191" s="179"/>
      <c r="F191" s="179">
        <v>900</v>
      </c>
      <c r="G191" s="167">
        <f>G5</f>
        <v>0.4</v>
      </c>
      <c r="H191" s="18">
        <f>$H$11-H192-H203</f>
        <v>0.49967105263157885</v>
      </c>
      <c r="I191" s="16"/>
      <c r="J191" s="16"/>
      <c r="K191" s="50">
        <f>ROUNDUP(inputs!$B$7*H191/(1.95*G191^2),0)</f>
        <v>974</v>
      </c>
      <c r="L191" s="17">
        <f>L5</f>
        <v>336</v>
      </c>
      <c r="M191" s="50">
        <f>L191*K191</f>
        <v>327264</v>
      </c>
      <c r="N191" s="63"/>
      <c r="O191" s="63"/>
      <c r="P191" s="63"/>
      <c r="Q191" s="63"/>
      <c r="R191" s="63"/>
      <c r="S191" s="63"/>
      <c r="T191" s="63"/>
      <c r="U191" s="63"/>
      <c r="V191" s="63"/>
      <c r="W191" s="63"/>
      <c r="Y191" s="67">
        <f>inputs!$L$53</f>
        <v>0.6</v>
      </c>
      <c r="Z191" s="63">
        <f>inputs!$K$53</f>
        <v>2145</v>
      </c>
      <c r="AA191" s="63">
        <f>Y191*Z191*(1-AH205)</f>
        <v>0</v>
      </c>
      <c r="AB191" s="63">
        <f>Z191*AH205</f>
        <v>2145</v>
      </c>
      <c r="AC191" s="63">
        <f>Y191*Z191</f>
        <v>1287</v>
      </c>
      <c r="AD191" s="63">
        <f>(Z191-Y191*Z191)*AH205</f>
        <v>858</v>
      </c>
      <c r="AE191" s="63">
        <f>AA191+AB191</f>
        <v>2145</v>
      </c>
      <c r="AF191" s="63"/>
      <c r="AH191" s="63"/>
    </row>
    <row r="192" spans="3:34" x14ac:dyDescent="0.25">
      <c r="D192" s="63"/>
      <c r="E192" s="179" t="s">
        <v>52</v>
      </c>
      <c r="F192" s="179">
        <v>900</v>
      </c>
      <c r="G192" s="168">
        <f>G6</f>
        <v>0.4</v>
      </c>
      <c r="H192" s="29">
        <f>K192*(1.95*G192^2)/inputs!$B$7</f>
        <v>0.50032894736842115</v>
      </c>
      <c r="I192" s="25"/>
      <c r="J192" s="25"/>
      <c r="K192" s="50">
        <f>K202</f>
        <v>975</v>
      </c>
      <c r="L192" s="17">
        <f>L6</f>
        <v>184.33333333333334</v>
      </c>
      <c r="M192" s="50">
        <f>L192*K192</f>
        <v>179725</v>
      </c>
      <c r="N192" s="63"/>
      <c r="O192" s="63"/>
      <c r="P192" s="63"/>
      <c r="Q192" s="63"/>
      <c r="R192" s="63"/>
      <c r="S192" s="63"/>
      <c r="T192" s="63"/>
      <c r="U192" s="63"/>
      <c r="V192" s="63"/>
      <c r="W192" s="63"/>
      <c r="Y192" s="67">
        <f>inputs!$L$53</f>
        <v>0.6</v>
      </c>
      <c r="Z192" s="63">
        <f>inputs!$K$53</f>
        <v>2145</v>
      </c>
      <c r="AA192" s="63">
        <f>Y192*Z192*(1-AH205)</f>
        <v>0</v>
      </c>
      <c r="AB192" s="63">
        <f>Z192*AH205</f>
        <v>2145</v>
      </c>
      <c r="AC192" s="63">
        <f>Y192*Z192</f>
        <v>1287</v>
      </c>
      <c r="AD192" s="63">
        <f>(Z192-Y192*Z192)*AH205</f>
        <v>858</v>
      </c>
      <c r="AE192" s="63">
        <f>AA192+AB192</f>
        <v>2145</v>
      </c>
      <c r="AF192" s="63"/>
      <c r="AH192" s="63"/>
    </row>
    <row r="193" spans="4:34" x14ac:dyDescent="0.25">
      <c r="D193" s="63"/>
      <c r="E193" s="179"/>
      <c r="F193" s="179">
        <v>1800</v>
      </c>
      <c r="G193" s="126">
        <f>G9</f>
        <v>0.25</v>
      </c>
      <c r="H193" s="162">
        <f>H9</f>
        <v>0</v>
      </c>
      <c r="I193" s="16"/>
      <c r="J193" s="16"/>
      <c r="K193" s="50">
        <f>ROUNDUP(inputs!$B$7*H193/(1.95*G193^2),0)-K208</f>
        <v>0</v>
      </c>
      <c r="L193" s="17">
        <f>L9</f>
        <v>417.66666666666669</v>
      </c>
      <c r="M193" s="50">
        <f>L193*K193</f>
        <v>0</v>
      </c>
      <c r="N193" s="63"/>
      <c r="O193" s="63"/>
      <c r="P193" s="63"/>
      <c r="Q193" s="63"/>
      <c r="R193" s="63"/>
      <c r="S193" s="63"/>
      <c r="T193" s="63"/>
      <c r="U193" s="63"/>
      <c r="V193" s="63"/>
      <c r="W193" s="63"/>
      <c r="Y193" s="67">
        <f>inputs!$L$53</f>
        <v>0.6</v>
      </c>
      <c r="Z193" s="63">
        <f>inputs!$K$53</f>
        <v>2145</v>
      </c>
      <c r="AA193" s="63">
        <f>Y193*Z193*(1-AH205)</f>
        <v>0</v>
      </c>
      <c r="AB193" s="63">
        <f>Z193*AH205</f>
        <v>2145</v>
      </c>
      <c r="AC193" s="63">
        <f>Y193*Z193</f>
        <v>1287</v>
      </c>
      <c r="AD193" s="63">
        <f>(Z193-Y193*Z193)*AH205</f>
        <v>858</v>
      </c>
      <c r="AE193" s="63">
        <f>AA193+AB193</f>
        <v>2145</v>
      </c>
      <c r="AF193" s="63"/>
      <c r="AH193" s="63"/>
    </row>
    <row r="194" spans="4:34" x14ac:dyDescent="0.25">
      <c r="D194" s="63"/>
      <c r="E194" s="179"/>
      <c r="F194" s="179"/>
      <c r="G194" s="9"/>
      <c r="H194" s="63"/>
      <c r="I194" s="63"/>
      <c r="J194" s="63"/>
      <c r="K194" s="50">
        <f>K191+K193+K192</f>
        <v>1949</v>
      </c>
      <c r="L194" s="17"/>
      <c r="M194" s="50">
        <f>M191+M193+M192</f>
        <v>506989</v>
      </c>
      <c r="N194" s="63"/>
      <c r="O194" s="63"/>
      <c r="P194" s="63"/>
      <c r="Q194" s="63"/>
      <c r="R194" s="63"/>
      <c r="S194" s="63"/>
      <c r="T194" s="63"/>
      <c r="U194" s="63"/>
      <c r="V194" s="63"/>
      <c r="W194" s="63"/>
      <c r="Y194" s="66"/>
      <c r="Z194" s="63"/>
      <c r="AA194" s="63">
        <f>(AA191*K191+AA192*K192+AA193*K193)*24*30/1000/1000/1000</f>
        <v>0</v>
      </c>
      <c r="AB194" s="63">
        <f>(AB191*K191+AB192*K192+AB193*K193)*24*30/1000/1000/1000</f>
        <v>3.0100356000000001</v>
      </c>
      <c r="AC194" s="63">
        <f>(AC191*K191+AC192*K192+AC193*K193)*24*30/1000/1000/1000</f>
        <v>1.8060213600000001</v>
      </c>
      <c r="AD194" s="63">
        <f>(AD191*K191+AD192*K192+AD193*K193)*24*30/1000/1000/1000</f>
        <v>1.20401424</v>
      </c>
      <c r="AE194" s="63">
        <f>(AE191*K191+AE192*K192+AE193*K193)*24*30/1000/1000/1000</f>
        <v>3.0100356000000001</v>
      </c>
      <c r="AF194" s="7" t="s">
        <v>167</v>
      </c>
      <c r="AH194" s="63"/>
    </row>
    <row r="195" spans="4:34" x14ac:dyDescent="0.25">
      <c r="D195" s="63"/>
      <c r="E195" s="63"/>
      <c r="F195" s="68"/>
      <c r="G195" s="9"/>
      <c r="H195" s="63"/>
      <c r="I195" s="63"/>
      <c r="J195" s="63"/>
      <c r="K195" s="69"/>
      <c r="L195" s="63"/>
      <c r="M195" s="17"/>
      <c r="N195" s="63"/>
      <c r="O195" s="63"/>
      <c r="P195" s="63"/>
      <c r="Q195" s="63"/>
      <c r="R195" s="63"/>
      <c r="S195" s="63"/>
      <c r="T195" s="63"/>
      <c r="U195" s="63"/>
      <c r="V195" s="63"/>
      <c r="W195" s="63"/>
      <c r="Y195" s="63"/>
      <c r="Z195" s="63"/>
      <c r="AA195" s="63"/>
      <c r="AB195" s="63"/>
      <c r="AC195" s="63"/>
      <c r="AD195" s="63"/>
      <c r="AE195" s="63"/>
      <c r="AF195" s="63"/>
      <c r="AH195" s="63"/>
    </row>
    <row r="196" spans="4:34" x14ac:dyDescent="0.25">
      <c r="D196" s="179" t="s">
        <v>27</v>
      </c>
      <c r="E196" s="68"/>
      <c r="F196" s="179"/>
      <c r="G196" s="9" t="str">
        <f>G13</f>
        <v>average cell range</v>
      </c>
      <c r="H196" s="179" t="s">
        <v>26</v>
      </c>
      <c r="I196" s="184"/>
      <c r="J196" s="184"/>
      <c r="K196" s="179" t="s">
        <v>28</v>
      </c>
      <c r="L196" s="13" t="s">
        <v>42</v>
      </c>
      <c r="M196" s="179" t="s">
        <v>43</v>
      </c>
      <c r="N196" s="63"/>
      <c r="O196" s="63"/>
      <c r="P196" s="63"/>
      <c r="Q196" s="63"/>
      <c r="R196" s="63"/>
      <c r="S196" s="63"/>
      <c r="T196" s="63"/>
      <c r="U196" s="63"/>
      <c r="V196" s="63"/>
      <c r="W196" s="63"/>
      <c r="Y196" s="63"/>
      <c r="Z196" s="63"/>
      <c r="AA196" s="63"/>
      <c r="AB196" s="63"/>
      <c r="AC196" s="63"/>
      <c r="AD196" s="63"/>
      <c r="AE196" s="63"/>
      <c r="AF196" s="63"/>
      <c r="AH196" s="63"/>
    </row>
    <row r="197" spans="4:34" x14ac:dyDescent="0.25">
      <c r="D197" s="63"/>
      <c r="E197" s="179" t="s">
        <v>29</v>
      </c>
      <c r="F197" s="179">
        <v>2100</v>
      </c>
      <c r="G197" s="167">
        <f>G14</f>
        <v>0.23</v>
      </c>
      <c r="H197" s="25">
        <f>K197*(1.95*G197^2)/inputs!$B$7</f>
        <v>0</v>
      </c>
      <c r="I197" s="25"/>
      <c r="J197" s="25"/>
      <c r="K197" s="70">
        <f>SUM(K14:K25)-K198-K199</f>
        <v>0</v>
      </c>
      <c r="L197" s="17">
        <f>L14</f>
        <v>4350.5859375</v>
      </c>
      <c r="M197" s="50">
        <f>L197*K197</f>
        <v>0</v>
      </c>
      <c r="Y197" s="67">
        <f>inputs!$L$54</f>
        <v>0.55000000000000004</v>
      </c>
      <c r="Z197" s="63">
        <f>inputs!$K$54</f>
        <v>1450</v>
      </c>
      <c r="AA197" s="63">
        <f>Y197*Z197*(1-AH205)</f>
        <v>0</v>
      </c>
      <c r="AB197" s="63">
        <f>Z197*AH205</f>
        <v>1450</v>
      </c>
      <c r="AC197" s="63">
        <f>Y197*Z197</f>
        <v>797.50000000000011</v>
      </c>
      <c r="AD197" s="63">
        <f>(Z197-Y197*Z197)*AH205</f>
        <v>652.49999999999989</v>
      </c>
      <c r="AE197" s="63">
        <f>AA197+AB197</f>
        <v>1450</v>
      </c>
      <c r="AF197" s="63"/>
      <c r="AH197" s="63"/>
    </row>
    <row r="198" spans="4:34" x14ac:dyDescent="0.25">
      <c r="D198" s="63"/>
      <c r="E198" s="179" t="s">
        <v>30</v>
      </c>
      <c r="F198" s="179"/>
      <c r="G198" s="168">
        <f>G15</f>
        <v>0.23</v>
      </c>
      <c r="H198" s="25">
        <f>K198*(1.95*G198^2)/inputs!$B$7</f>
        <v>0</v>
      </c>
      <c r="I198" s="25"/>
      <c r="J198" s="25"/>
      <c r="K198" s="69">
        <f>ROUNDUP(IF(L186&lt;=K14,K15+L186,SUM(K14:K25)-K199),0)</f>
        <v>0</v>
      </c>
      <c r="L198" s="17">
        <f>L15</f>
        <v>10151.3671875</v>
      </c>
      <c r="M198" s="50">
        <f>L198*K198</f>
        <v>0</v>
      </c>
      <c r="N198" s="63"/>
      <c r="O198" s="63"/>
      <c r="P198" s="63"/>
      <c r="Q198" s="63"/>
      <c r="R198" s="63"/>
      <c r="S198" s="63"/>
      <c r="T198" s="63"/>
      <c r="U198" s="63"/>
      <c r="V198" s="63"/>
      <c r="W198" s="63"/>
      <c r="Y198" s="67">
        <f>inputs!$L$55</f>
        <v>0.55000000000000004</v>
      </c>
      <c r="Z198" s="63">
        <f>inputs!$K$55</f>
        <v>1500</v>
      </c>
      <c r="AA198" s="63">
        <f>Y198*Z198*(1-AH205)</f>
        <v>0</v>
      </c>
      <c r="AB198" s="63">
        <f>Z198*AH205</f>
        <v>1500</v>
      </c>
      <c r="AC198" s="63">
        <f>Y198*Z198</f>
        <v>825.00000000000011</v>
      </c>
      <c r="AD198" s="63">
        <f>(Z198-Y198*Z198)*AH205</f>
        <v>674.99999999999989</v>
      </c>
      <c r="AE198" s="63">
        <f>AA198+AB198</f>
        <v>1500</v>
      </c>
      <c r="AF198" s="63"/>
      <c r="AH198" s="63"/>
    </row>
    <row r="199" spans="4:34" x14ac:dyDescent="0.25">
      <c r="D199" s="63"/>
      <c r="E199" s="179" t="s">
        <v>31</v>
      </c>
      <c r="F199" s="179"/>
      <c r="G199" s="126">
        <f>G21</f>
        <v>0.23</v>
      </c>
      <c r="H199" s="25">
        <f>MIN(1,K199*(1.95*G199^2)/inputs!$B$7)</f>
        <v>2.3752796052631578E-3</v>
      </c>
      <c r="I199" s="25"/>
      <c r="J199" s="25"/>
      <c r="K199" s="69">
        <f>ROUNDUP(IF(SUM(K14:K25)-K15-L186&lt;0,IF(SUM(K14:K25)*4-K14-2*K15&gt;L186,(L186-(SUM(K14:K25)-K15))/2,SUM(K14:K25)),0),0)</f>
        <v>14</v>
      </c>
      <c r="L199" s="17">
        <f>L21</f>
        <v>21269.53125</v>
      </c>
      <c r="M199" s="50">
        <f>L199*K199</f>
        <v>297773.4375</v>
      </c>
      <c r="N199" s="63"/>
      <c r="O199" s="63"/>
      <c r="P199" s="63"/>
      <c r="Q199" s="63"/>
      <c r="R199" s="63"/>
      <c r="S199" s="63"/>
      <c r="T199" s="63"/>
      <c r="U199" s="63"/>
      <c r="V199" s="63"/>
      <c r="W199" s="63"/>
      <c r="Y199" s="67">
        <f>inputs!$L$57</f>
        <v>0.55000000000000004</v>
      </c>
      <c r="Z199" s="63">
        <f>inputs!$K$57</f>
        <v>1600</v>
      </c>
      <c r="AA199" s="63">
        <f>Y199*Z199*(1-AH205)</f>
        <v>0</v>
      </c>
      <c r="AB199" s="63">
        <f>Z199*AH205</f>
        <v>1600</v>
      </c>
      <c r="AC199" s="63">
        <f>Y199*Z199</f>
        <v>880.00000000000011</v>
      </c>
      <c r="AD199" s="63">
        <f>(Z199-Y199*Z199)*AH205</f>
        <v>719.99999999999989</v>
      </c>
      <c r="AE199" s="63">
        <f>AA199+AB199</f>
        <v>1600</v>
      </c>
      <c r="AF199" s="63"/>
      <c r="AH199" s="63"/>
    </row>
    <row r="200" spans="4:34" x14ac:dyDescent="0.25">
      <c r="D200" s="63"/>
      <c r="E200" s="179"/>
      <c r="F200" s="179"/>
      <c r="G200" s="9"/>
      <c r="H200" s="63"/>
      <c r="I200" s="63"/>
      <c r="J200" s="63"/>
      <c r="K200" s="50">
        <f>K197+K198+K199</f>
        <v>14</v>
      </c>
      <c r="L200" s="17"/>
      <c r="M200" s="50">
        <f>M197+M198+M199</f>
        <v>297773.4375</v>
      </c>
      <c r="N200" s="63"/>
      <c r="O200" s="63"/>
      <c r="P200" s="63"/>
      <c r="Q200" s="63"/>
      <c r="R200" s="63"/>
      <c r="S200" s="63"/>
      <c r="T200" s="63"/>
      <c r="U200" s="63"/>
      <c r="V200" s="63"/>
      <c r="W200" s="63"/>
      <c r="Y200" s="17"/>
      <c r="Z200" s="63"/>
      <c r="AA200" s="63"/>
      <c r="AB200" s="63"/>
      <c r="AC200" s="63"/>
      <c r="AD200" s="63"/>
      <c r="AE200" s="63"/>
      <c r="AF200" s="63"/>
      <c r="AH200" s="63"/>
    </row>
    <row r="201" spans="4:34" x14ac:dyDescent="0.25">
      <c r="D201" s="63"/>
      <c r="E201" s="179"/>
      <c r="F201" s="179"/>
      <c r="G201" s="9"/>
      <c r="H201" s="63"/>
      <c r="I201" s="63"/>
      <c r="J201" s="63"/>
      <c r="K201" s="69"/>
      <c r="L201" s="17"/>
      <c r="M201" s="17"/>
      <c r="N201" s="63"/>
      <c r="O201" s="63"/>
      <c r="P201" s="63"/>
      <c r="Q201" s="63"/>
      <c r="R201" s="63"/>
      <c r="S201" s="63"/>
      <c r="T201" s="63"/>
      <c r="U201" s="63"/>
      <c r="V201" s="63"/>
      <c r="W201" s="63"/>
      <c r="Y201" s="17"/>
      <c r="Z201" s="63"/>
      <c r="AA201" s="63"/>
      <c r="AB201" s="63"/>
      <c r="AC201" s="63"/>
      <c r="AD201" s="63"/>
      <c r="AE201" s="63"/>
      <c r="AF201" s="63"/>
      <c r="AH201" s="63"/>
    </row>
    <row r="202" spans="4:34" x14ac:dyDescent="0.25">
      <c r="D202" s="63"/>
      <c r="E202" s="179" t="s">
        <v>29</v>
      </c>
      <c r="F202" s="179">
        <v>900</v>
      </c>
      <c r="G202" s="167">
        <f>G27</f>
        <v>0.4</v>
      </c>
      <c r="H202" s="27">
        <f>H27</f>
        <v>0.5</v>
      </c>
      <c r="I202" s="25"/>
      <c r="J202" s="25"/>
      <c r="K202" s="17">
        <f>ROUNDUP(inputs!$B$7*H202/(1.95*G202^2),0)</f>
        <v>975</v>
      </c>
      <c r="L202" s="17">
        <f>L27</f>
        <v>4350.5859375</v>
      </c>
      <c r="M202" s="17">
        <f>L202*K202</f>
        <v>4241821.2890625</v>
      </c>
      <c r="N202" s="63"/>
      <c r="O202" s="63"/>
      <c r="P202" s="63"/>
      <c r="Q202" s="63"/>
      <c r="R202" s="63"/>
      <c r="S202" s="63"/>
      <c r="T202" s="63"/>
      <c r="U202" s="63"/>
      <c r="V202" s="63"/>
      <c r="W202" s="63"/>
      <c r="Y202" s="67">
        <f>inputs!$L$54</f>
        <v>0.55000000000000004</v>
      </c>
      <c r="Z202" s="63">
        <f>inputs!$K$54</f>
        <v>1450</v>
      </c>
      <c r="AA202" s="63">
        <f>Y202*Z202*(1-AH205)</f>
        <v>0</v>
      </c>
      <c r="AB202" s="63">
        <f>Z202*AH205</f>
        <v>1450</v>
      </c>
      <c r="AC202" s="63">
        <f>Y202*Z202</f>
        <v>797.50000000000011</v>
      </c>
      <c r="AD202" s="63">
        <f>(Z202-Y202*Z202)*AH205</f>
        <v>652.49999999999989</v>
      </c>
      <c r="AE202" s="63">
        <f>AA202+AB202</f>
        <v>1450</v>
      </c>
      <c r="AF202" s="63"/>
      <c r="AH202" s="63"/>
    </row>
    <row r="203" spans="4:34" x14ac:dyDescent="0.25">
      <c r="D203" s="63"/>
      <c r="E203" s="179" t="s">
        <v>30</v>
      </c>
      <c r="F203" s="179"/>
      <c r="G203" s="126">
        <f>G28</f>
        <v>0.4</v>
      </c>
      <c r="H203" s="24">
        <f>H28</f>
        <v>0</v>
      </c>
      <c r="I203" s="25"/>
      <c r="J203" s="25"/>
      <c r="K203" s="17">
        <f>ROUNDUP(inputs!$B$7*H203/(1.95*G203^2),0)</f>
        <v>0</v>
      </c>
      <c r="L203" s="17">
        <f>L28</f>
        <v>5317.3828125</v>
      </c>
      <c r="M203" s="17">
        <f>L203*K203</f>
        <v>0</v>
      </c>
      <c r="N203" s="63"/>
      <c r="O203" s="63"/>
      <c r="P203" s="63"/>
      <c r="Q203" s="63"/>
      <c r="R203" s="63"/>
      <c r="S203" s="63"/>
      <c r="T203" s="63"/>
      <c r="U203" s="63"/>
      <c r="V203" s="63"/>
      <c r="W203" s="63"/>
      <c r="Y203" s="67">
        <f>inputs!$L$55</f>
        <v>0.55000000000000004</v>
      </c>
      <c r="Z203" s="63">
        <f>inputs!$K$55</f>
        <v>1500</v>
      </c>
      <c r="AA203" s="63">
        <f>Y203*Z203*(1-AH205)</f>
        <v>0</v>
      </c>
      <c r="AB203" s="63">
        <f>Z203*AH205</f>
        <v>1500</v>
      </c>
      <c r="AC203" s="63">
        <f>Y203*Z203</f>
        <v>825.00000000000011</v>
      </c>
      <c r="AD203" s="63">
        <f>(Z203-Y203*Z203)*AH205</f>
        <v>674.99999999999989</v>
      </c>
      <c r="AE203" s="63">
        <f>AA203+AB203</f>
        <v>1500</v>
      </c>
      <c r="AF203" s="63"/>
      <c r="AH203" s="63"/>
    </row>
    <row r="204" spans="4:34" x14ac:dyDescent="0.25">
      <c r="D204" s="63"/>
      <c r="E204" s="179"/>
      <c r="F204" s="179"/>
      <c r="G204" s="9"/>
      <c r="H204" s="63"/>
      <c r="I204" s="63"/>
      <c r="J204" s="63"/>
      <c r="K204" s="17">
        <f>K202+K203</f>
        <v>975</v>
      </c>
      <c r="L204" s="17"/>
      <c r="M204" s="17">
        <f>M202+M203</f>
        <v>4241821.2890625</v>
      </c>
      <c r="N204" s="63"/>
      <c r="O204" s="63"/>
      <c r="P204" s="63"/>
      <c r="Q204" s="63"/>
      <c r="R204" s="63"/>
      <c r="S204" s="63"/>
      <c r="T204" s="63"/>
      <c r="U204" s="63"/>
      <c r="V204" s="63"/>
      <c r="W204" s="63"/>
      <c r="Y204" s="17"/>
      <c r="Z204" s="63"/>
      <c r="AA204" s="63"/>
      <c r="AB204" s="63"/>
      <c r="AC204" s="63"/>
      <c r="AD204" s="63"/>
      <c r="AE204" s="63"/>
      <c r="AF204" s="63"/>
      <c r="AH204" s="63" t="s">
        <v>123</v>
      </c>
    </row>
    <row r="205" spans="4:34" x14ac:dyDescent="0.25">
      <c r="D205" s="63"/>
      <c r="E205" s="63"/>
      <c r="F205" s="68"/>
      <c r="G205" s="9"/>
      <c r="H205" s="63"/>
      <c r="I205" s="63"/>
      <c r="J205" s="63"/>
      <c r="K205" s="69"/>
      <c r="L205" s="63"/>
      <c r="M205" s="17"/>
      <c r="N205" s="63"/>
      <c r="O205" s="63"/>
      <c r="P205" s="63"/>
      <c r="Q205" s="63"/>
      <c r="R205" s="63"/>
      <c r="S205" s="63"/>
      <c r="T205" s="63"/>
      <c r="U205" s="63"/>
      <c r="V205" s="63"/>
      <c r="W205" s="63"/>
      <c r="Y205" s="66"/>
      <c r="Z205" s="63"/>
      <c r="AA205" s="63">
        <f>(AA197*$K197+AA198*$K198+AA199*$K199+AA202*$K202+AA203*$K203)*24*30/1000/1000/1000</f>
        <v>0</v>
      </c>
      <c r="AB205" s="63">
        <f>(AB197*$K197+AB198*$K198+AB199*$K199+AB202*$K202+AB203*$K203)*24*30/1000/1000/1000</f>
        <v>1.0340279999999999</v>
      </c>
      <c r="AC205" s="63">
        <f>(AC197*$K197+AC198*$K198+AC199*$K199+AC202*$K202+AC203*$K203)*24*30/1000/1000/1000</f>
        <v>0.5687154000000002</v>
      </c>
      <c r="AD205" s="63">
        <f>(AD197*$K197+AD198*$K198+AD199*$K199+AD202*$K202+AD203*$K203)*24*30/1000/1000/1000</f>
        <v>0.46531259999999985</v>
      </c>
      <c r="AE205" s="63">
        <f>(AE197*$K197+AE198*$K198+AE199*$K199+AE202*$K202+AE203*$K203)*24*30/1000/1000/1000</f>
        <v>1.0340279999999999</v>
      </c>
      <c r="AF205" s="7" t="s">
        <v>167</v>
      </c>
      <c r="AH205" s="166">
        <f>IF(G188/((M194+M200+M204+M209)*60*60*24*30/8/1024/1024/1024)&gt;1,1,G188/((M194+M200+M204+M209)*60*60*24*30/8/1024/1024/1024))</f>
        <v>1</v>
      </c>
    </row>
    <row r="206" spans="4:34" x14ac:dyDescent="0.25">
      <c r="D206" s="179" t="s">
        <v>32</v>
      </c>
      <c r="E206" s="179"/>
      <c r="F206" s="179"/>
      <c r="G206" s="9" t="str">
        <f>G32</f>
        <v>average cell range</v>
      </c>
      <c r="H206" s="179" t="s">
        <v>26</v>
      </c>
      <c r="I206" s="184"/>
      <c r="J206" s="184"/>
      <c r="K206" s="179" t="s">
        <v>33</v>
      </c>
      <c r="L206" s="13" t="s">
        <v>42</v>
      </c>
      <c r="M206" s="179" t="s">
        <v>43</v>
      </c>
      <c r="N206" s="63"/>
      <c r="O206" s="63"/>
      <c r="P206" s="63"/>
      <c r="Q206" s="63"/>
      <c r="R206" s="63"/>
      <c r="S206" s="63"/>
      <c r="T206" s="63"/>
      <c r="U206" s="63"/>
      <c r="V206" s="63"/>
      <c r="W206" s="63"/>
      <c r="Y206" s="63"/>
      <c r="Z206" s="63"/>
      <c r="AA206" s="63"/>
      <c r="AB206" s="63"/>
      <c r="AC206" s="63"/>
      <c r="AD206" s="63"/>
      <c r="AE206" s="63"/>
      <c r="AF206" s="63"/>
      <c r="AH206" s="63"/>
    </row>
    <row r="207" spans="4:34" x14ac:dyDescent="0.25">
      <c r="D207" s="63"/>
      <c r="E207" s="179" t="s">
        <v>34</v>
      </c>
      <c r="F207" s="179">
        <v>2600</v>
      </c>
      <c r="G207" s="167">
        <f>G33</f>
        <v>0.2</v>
      </c>
      <c r="H207" s="177">
        <f>MIN(1,K208*(1.95*G207^2)/inputs!$B$7)</f>
        <v>0</v>
      </c>
      <c r="I207" s="25"/>
      <c r="J207" s="25"/>
      <c r="K207" s="50">
        <f>ROUNDUP(inputs!$B$7*H207/(1.95*G207^2),0)</f>
        <v>0</v>
      </c>
      <c r="L207" s="17">
        <f>L33</f>
        <v>30468.75</v>
      </c>
      <c r="M207" s="17">
        <f>L207*K207</f>
        <v>0</v>
      </c>
      <c r="N207" s="63"/>
      <c r="O207" s="63"/>
      <c r="P207" s="63"/>
      <c r="Q207" s="63"/>
      <c r="R207" s="63"/>
      <c r="S207" s="63"/>
      <c r="T207" s="63"/>
      <c r="U207" s="63"/>
      <c r="V207" s="63"/>
      <c r="W207" s="63"/>
      <c r="Y207" s="67"/>
      <c r="Z207" s="63"/>
      <c r="AA207" s="63"/>
      <c r="AB207" s="63"/>
      <c r="AC207" s="63"/>
      <c r="AD207" s="63"/>
      <c r="AE207" s="63"/>
      <c r="AF207" s="63"/>
      <c r="AH207" s="63"/>
    </row>
    <row r="208" spans="4:34" x14ac:dyDescent="0.25">
      <c r="D208" s="63"/>
      <c r="E208" s="179" t="s">
        <v>35</v>
      </c>
      <c r="F208" s="179">
        <v>1800</v>
      </c>
      <c r="G208" s="126">
        <f>G35</f>
        <v>0.25</v>
      </c>
      <c r="H208" s="25">
        <f>MIN(1,K208*(1.95*G208^2)/inputs!$B$7)</f>
        <v>0</v>
      </c>
      <c r="I208" s="25"/>
      <c r="J208" s="25"/>
      <c r="K208" s="70">
        <f>K35+L187</f>
        <v>0</v>
      </c>
      <c r="L208" s="17">
        <f>L35</f>
        <v>30468.75</v>
      </c>
      <c r="M208" s="17">
        <f>L208*K208</f>
        <v>0</v>
      </c>
      <c r="N208" s="63"/>
      <c r="O208" s="63"/>
      <c r="P208" s="63"/>
      <c r="Q208" s="63"/>
      <c r="R208" s="63"/>
      <c r="S208" s="63"/>
      <c r="T208" s="63"/>
      <c r="U208" s="63"/>
      <c r="V208" s="63"/>
      <c r="W208" s="63"/>
      <c r="Y208" s="19">
        <f>inputs!$L$59</f>
        <v>0.5</v>
      </c>
      <c r="Z208" s="7">
        <f>inputs!$K$59</f>
        <v>1500</v>
      </c>
      <c r="AA208" s="63">
        <f>Y208*Z208*(1-AH205)</f>
        <v>0</v>
      </c>
      <c r="AB208" s="63">
        <f>Z208*AH205</f>
        <v>1500</v>
      </c>
      <c r="AC208" s="63">
        <f>Y208*Z208</f>
        <v>750</v>
      </c>
      <c r="AD208" s="63">
        <f>(Z208-Y208*Z208)*AH205</f>
        <v>750</v>
      </c>
      <c r="AE208" s="63">
        <f>AA208+AB208</f>
        <v>1500</v>
      </c>
      <c r="AF208" s="63"/>
      <c r="AH208" s="63"/>
    </row>
    <row r="209" spans="4:34" x14ac:dyDescent="0.25">
      <c r="D209" s="63"/>
      <c r="E209" s="63"/>
      <c r="F209" s="179"/>
      <c r="G209" s="179"/>
      <c r="H209" s="63"/>
      <c r="I209" s="63"/>
      <c r="J209" s="63"/>
      <c r="K209" s="17">
        <f>K208</f>
        <v>0</v>
      </c>
      <c r="L209" s="17"/>
      <c r="M209" s="50">
        <f>M207+M208</f>
        <v>0</v>
      </c>
      <c r="N209" s="63"/>
      <c r="O209" s="63"/>
      <c r="P209" s="63"/>
      <c r="Q209" s="63"/>
      <c r="R209" s="63"/>
      <c r="S209" s="63"/>
      <c r="T209" s="63"/>
      <c r="U209" s="63"/>
      <c r="V209" s="63"/>
      <c r="W209" s="63"/>
      <c r="Y209" s="63"/>
      <c r="Z209" s="63"/>
      <c r="AA209" s="63">
        <f>(AA207*K207+AA208*K208)*24*30/1000/1000/1000</f>
        <v>0</v>
      </c>
      <c r="AB209" s="63">
        <f>(AB207*K207+AB208*K208)*24*30/1000/1000/1000</f>
        <v>0</v>
      </c>
      <c r="AC209" s="63">
        <f>(AC207*K207+AC208*K208)*24*30/1000/1000/1000</f>
        <v>0</v>
      </c>
      <c r="AD209" s="63">
        <f>(AD207*K207+AD208*K208)*24*30/1000/1000/1000</f>
        <v>0</v>
      </c>
      <c r="AE209" s="63">
        <f>(AE207*K207+AE208*K208)*24*30/1000/1000/1000</f>
        <v>0</v>
      </c>
      <c r="AF209" s="7" t="s">
        <v>167</v>
      </c>
      <c r="AH209" s="63"/>
    </row>
    <row r="210" spans="4:34" x14ac:dyDescent="0.25">
      <c r="D210" s="63"/>
      <c r="E210" s="63"/>
      <c r="F210" s="63"/>
      <c r="G210" s="63"/>
      <c r="H210" s="63"/>
      <c r="I210" s="63"/>
      <c r="J210" s="63"/>
      <c r="K210" s="70"/>
      <c r="L210" s="63"/>
      <c r="M210" s="63"/>
      <c r="N210" s="63"/>
      <c r="O210" s="63"/>
      <c r="P210" s="63"/>
      <c r="Q210" s="63"/>
      <c r="R210" s="63"/>
      <c r="S210" s="63"/>
      <c r="T210" s="63"/>
      <c r="U210" s="63"/>
      <c r="V210" s="63"/>
      <c r="W210" s="63"/>
      <c r="Y210" s="63"/>
      <c r="Z210" s="63"/>
      <c r="AA210" s="63"/>
      <c r="AB210" s="63"/>
      <c r="AC210" s="63"/>
      <c r="AD210" s="63"/>
      <c r="AE210" s="63"/>
      <c r="AF210" s="63"/>
      <c r="AH210" s="63"/>
    </row>
    <row r="211" spans="4:34" x14ac:dyDescent="0.25">
      <c r="F211" s="63"/>
      <c r="G211" s="63"/>
      <c r="H211" s="63"/>
      <c r="I211" s="63"/>
      <c r="J211" s="63"/>
      <c r="K211" s="71">
        <f>K194+K200+K204+K209</f>
        <v>2938</v>
      </c>
      <c r="L211" s="63"/>
      <c r="M211" s="50">
        <f>M194+M200+M209</f>
        <v>804762.4375</v>
      </c>
      <c r="N211" s="63"/>
      <c r="O211" s="63"/>
      <c r="P211" s="63"/>
      <c r="Q211" s="63"/>
      <c r="R211" s="63"/>
      <c r="S211" s="63"/>
      <c r="T211" s="63"/>
      <c r="U211" s="63"/>
      <c r="V211" s="63"/>
      <c r="W211" s="63"/>
      <c r="Y211" s="63"/>
      <c r="Z211" s="63"/>
      <c r="AA211" s="63"/>
      <c r="AB211" s="63"/>
      <c r="AC211" s="63"/>
      <c r="AD211" s="63"/>
      <c r="AE211" s="63"/>
      <c r="AF211" s="63"/>
      <c r="AH211" s="63"/>
    </row>
    <row r="212" spans="4:34" x14ac:dyDescent="0.25">
      <c r="D212" s="63"/>
      <c r="E212" s="63"/>
      <c r="F212" s="63"/>
      <c r="G212" s="63"/>
      <c r="H212" s="63"/>
      <c r="I212" s="63"/>
      <c r="J212" s="63"/>
      <c r="K212" s="69"/>
      <c r="L212" s="63"/>
      <c r="M212" s="63"/>
      <c r="N212" s="63"/>
      <c r="O212" s="63"/>
      <c r="P212" s="63"/>
      <c r="Q212" s="63"/>
      <c r="R212" s="63"/>
      <c r="S212" s="63"/>
      <c r="T212" s="63"/>
      <c r="U212" s="63"/>
      <c r="V212" s="63"/>
      <c r="W212" s="63"/>
      <c r="Y212" s="63"/>
      <c r="Z212" s="63"/>
      <c r="AA212" s="63"/>
      <c r="AB212" s="63"/>
      <c r="AC212" s="63"/>
      <c r="AD212" s="63"/>
      <c r="AE212" s="63"/>
      <c r="AF212" s="63"/>
      <c r="AH212" s="63"/>
    </row>
    <row r="213" spans="4:34" x14ac:dyDescent="0.25">
      <c r="D213" s="63"/>
      <c r="E213" s="63"/>
      <c r="F213" s="63"/>
      <c r="G213" s="63"/>
      <c r="H213" s="63"/>
      <c r="I213" s="63"/>
      <c r="J213" s="63"/>
      <c r="K213" s="63"/>
      <c r="L213" s="63"/>
      <c r="M213" s="63"/>
      <c r="N213" s="63"/>
      <c r="O213" s="63"/>
      <c r="P213" s="63"/>
      <c r="Q213" s="63"/>
      <c r="R213" s="63"/>
      <c r="S213" s="63"/>
      <c r="T213" s="63"/>
      <c r="U213" s="63"/>
      <c r="V213" s="63"/>
      <c r="W213" s="63"/>
      <c r="Y213" s="63"/>
      <c r="Z213" s="63"/>
      <c r="AA213" s="63"/>
      <c r="AB213" s="63"/>
      <c r="AC213" s="63"/>
      <c r="AD213" s="63"/>
      <c r="AE213" s="63"/>
      <c r="AF213" s="63"/>
      <c r="AH213" s="63"/>
    </row>
    <row r="214" spans="4:34" x14ac:dyDescent="0.25">
      <c r="D214" s="63"/>
      <c r="E214" s="63"/>
      <c r="F214" s="63"/>
      <c r="G214" s="63"/>
      <c r="H214" s="63"/>
      <c r="I214" s="63"/>
      <c r="J214" s="63"/>
      <c r="K214" s="63"/>
      <c r="L214" s="63"/>
      <c r="M214" s="63"/>
      <c r="N214" s="63"/>
      <c r="O214" s="63"/>
      <c r="P214" s="63"/>
      <c r="Q214" s="63"/>
      <c r="R214" s="63"/>
      <c r="S214" s="63"/>
      <c r="T214" s="63"/>
      <c r="U214" s="63"/>
      <c r="V214" s="63"/>
      <c r="W214" s="63"/>
      <c r="Y214" s="63"/>
      <c r="Z214" s="63"/>
      <c r="AA214" s="63"/>
      <c r="AB214" s="63"/>
      <c r="AC214" s="63"/>
      <c r="AD214" s="63"/>
      <c r="AE214" s="63"/>
      <c r="AF214" s="63"/>
      <c r="AH214" s="63"/>
    </row>
    <row r="215" spans="4:34" x14ac:dyDescent="0.25">
      <c r="D215" s="63"/>
      <c r="E215" s="63"/>
      <c r="F215" s="63"/>
      <c r="G215" s="63"/>
      <c r="H215" s="63"/>
      <c r="I215" s="63"/>
      <c r="J215" s="63"/>
      <c r="K215" s="63"/>
      <c r="L215" s="63"/>
      <c r="M215" s="63"/>
      <c r="N215" s="63"/>
      <c r="O215" s="63"/>
      <c r="P215" s="63"/>
      <c r="Q215" s="63"/>
      <c r="R215" s="63"/>
      <c r="S215" s="63"/>
      <c r="T215" s="63"/>
      <c r="U215" s="63"/>
      <c r="V215" s="63"/>
      <c r="W215" s="63"/>
      <c r="Y215" s="63"/>
      <c r="Z215" s="63"/>
      <c r="AA215" s="63"/>
      <c r="AB215" s="63"/>
      <c r="AC215" s="63"/>
      <c r="AD215" s="63"/>
      <c r="AE215" s="63"/>
      <c r="AF215" s="63"/>
      <c r="AH215" s="63"/>
    </row>
    <row r="216" spans="4:34" x14ac:dyDescent="0.25">
      <c r="D216" s="63"/>
      <c r="E216" s="63"/>
      <c r="F216" s="63"/>
      <c r="G216" s="63"/>
      <c r="H216" s="63"/>
      <c r="I216" s="63"/>
      <c r="J216" s="63"/>
      <c r="K216" s="63"/>
      <c r="L216" s="63"/>
      <c r="M216" s="63"/>
      <c r="N216" s="63"/>
      <c r="O216" s="63"/>
      <c r="P216" s="63"/>
      <c r="Q216" s="63"/>
      <c r="R216" s="63"/>
      <c r="S216" s="63"/>
      <c r="T216" s="63"/>
      <c r="U216" s="63"/>
      <c r="V216" s="63"/>
      <c r="W216" s="63"/>
      <c r="Y216" s="63"/>
      <c r="Z216" s="63"/>
      <c r="AA216" s="63"/>
      <c r="AB216" s="63"/>
      <c r="AC216" s="63"/>
      <c r="AD216" s="63"/>
      <c r="AE216" s="63"/>
      <c r="AF216" s="63"/>
      <c r="AH216" s="63"/>
    </row>
    <row r="217" spans="4:34" x14ac:dyDescent="0.25">
      <c r="AH217" s="63"/>
    </row>
    <row r="218" spans="4:34" x14ac:dyDescent="0.25">
      <c r="AH218" s="63"/>
    </row>
    <row r="219" spans="4:34" x14ac:dyDescent="0.25">
      <c r="AH219" s="63"/>
    </row>
    <row r="220" spans="4:34" x14ac:dyDescent="0.25">
      <c r="AH220" s="63"/>
    </row>
    <row r="221" spans="4:34" x14ac:dyDescent="0.25">
      <c r="AH221" s="63"/>
    </row>
    <row r="222" spans="4:34" x14ac:dyDescent="0.25">
      <c r="AH222" s="63"/>
    </row>
  </sheetData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Dashboard</vt:lpstr>
      <vt:lpstr>inputs</vt:lpstr>
      <vt:lpstr>Core Urban</vt:lpstr>
      <vt:lpstr>Dach_Future_Volume</vt:lpstr>
      <vt:lpstr>Dash_Current_Volume</vt:lpstr>
      <vt:lpstr>Growth_rate_dash</vt:lpstr>
      <vt:lpstr>offloading_on_off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Michail Katsigiannis</dc:creator>
  <cp:lastModifiedBy>Michael Katsigiannis</cp:lastModifiedBy>
  <dcterms:created xsi:type="dcterms:W3CDTF">2006-09-16T00:00:00Z</dcterms:created>
  <dcterms:modified xsi:type="dcterms:W3CDTF">2017-11-13T13:14:56Z</dcterms:modified>
</cp:coreProperties>
</file>